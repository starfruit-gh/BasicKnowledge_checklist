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58937276-177E-477E-BDF2-C5C3645859C8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4" i="2" l="1"/>
  <c r="E48" i="2"/>
  <c r="E44" i="2"/>
  <c r="E99" i="2"/>
  <c r="E11" i="2" a="1"/>
  <c r="E94" i="2"/>
  <c r="E61" i="2"/>
  <c r="E102" i="2"/>
  <c r="E81" i="2"/>
  <c r="E7" i="2" a="1"/>
  <c r="E62" i="2"/>
  <c r="E51" i="2"/>
  <c r="E46" i="2"/>
  <c r="E45" i="2"/>
  <c r="E69" i="2"/>
  <c r="E47" i="2"/>
  <c r="E41" i="2"/>
  <c r="E23" i="2"/>
  <c r="E42" i="2"/>
  <c r="E55" i="2"/>
  <c r="E39" i="2"/>
  <c r="E105" i="2"/>
  <c r="E91" i="2"/>
  <c r="E65" i="2"/>
  <c r="E31" i="2"/>
  <c r="E104" i="2"/>
  <c r="E35" i="2"/>
  <c r="E32" i="2"/>
  <c r="E17" i="2"/>
  <c r="E4" i="2" a="1"/>
  <c r="E24" i="2"/>
  <c r="E79" i="2"/>
  <c r="E89" i="2"/>
  <c r="E67" i="2"/>
  <c r="E110" i="2"/>
  <c r="E22" i="2"/>
  <c r="E103" i="2"/>
  <c r="E19" i="2"/>
  <c r="E33" i="2"/>
  <c r="E52" i="2"/>
  <c r="E80" i="2"/>
  <c r="E72" i="2"/>
  <c r="E27" i="2"/>
  <c r="E63" i="2"/>
  <c r="E100" i="2"/>
  <c r="E10" i="2" a="1"/>
  <c r="E101" i="2"/>
  <c r="E85" i="2"/>
  <c r="E70" i="2"/>
  <c r="E74" i="2"/>
  <c r="E9" i="2"/>
  <c r="E66" i="2"/>
  <c r="E114" i="2"/>
  <c r="E90" i="2"/>
  <c r="E76" i="2"/>
  <c r="E57" i="2"/>
  <c r="E60" i="2"/>
  <c r="E56" i="2"/>
  <c r="E95" i="2"/>
  <c r="E86" i="2"/>
  <c r="E8" i="2" a="1"/>
  <c r="E29" i="2"/>
  <c r="E34" i="2"/>
  <c r="E109" i="2"/>
  <c r="E93" i="2"/>
  <c r="E96" i="2"/>
  <c r="E20" i="2"/>
  <c r="E50" i="2"/>
  <c r="E112" i="2"/>
  <c r="E97" i="2"/>
  <c r="E43" i="2"/>
  <c r="E40" i="2"/>
  <c r="E38" i="2"/>
  <c r="E53" i="2"/>
  <c r="E54" i="2"/>
  <c r="E98" i="2"/>
  <c r="E83" i="2"/>
  <c r="E82" i="2"/>
  <c r="E77" i="2"/>
  <c r="E18" i="2"/>
  <c r="E6" i="2"/>
  <c r="E5" i="2" a="1"/>
  <c r="E30" i="2"/>
  <c r="E25" i="2"/>
  <c r="E75" i="2"/>
  <c r="E106" i="2"/>
  <c r="E26" i="2"/>
  <c r="E88" i="2"/>
  <c r="E15" i="2"/>
  <c r="E111" i="2"/>
  <c r="E21" i="2"/>
  <c r="E59" i="2"/>
  <c r="E37" i="2"/>
  <c r="E87" i="2"/>
  <c r="E58" i="2"/>
  <c r="E92" i="2"/>
  <c r="E13" i="2" a="1"/>
  <c r="E16" i="2" a="1"/>
  <c r="E107" i="2"/>
  <c r="E64" i="2"/>
  <c r="E78" i="2"/>
  <c r="E12" i="2" a="1"/>
  <c r="E73" i="2"/>
  <c r="E68" i="2"/>
  <c r="E113" i="2"/>
  <c r="E49" i="2"/>
  <c r="E14" i="2"/>
  <c r="E108" i="2"/>
  <c r="E71" i="2"/>
  <c r="E28" i="2"/>
  <c r="E36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<sst xmlns="http://schemas.openxmlformats.org/spreadsheetml/2006/main" count="87" uniqueCount="87">
  <si>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</si>
  <si>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</si>
  <si>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</si>
  <si>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</si>
  <si>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</si>
  <si>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</si>
  <si>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</si>
  <si>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</si>
  <si>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</si>
  <si>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</si>
  <si>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</si>
  <si>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</si>
  <si>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</si>
  <si>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</si>
  <si>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</si>
  <si>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</si>
  <si>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</si>
  <si>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</si>
  <si>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</si>
  <si>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</si>
  <si>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</si>
  <si>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</si>
  <si>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</si>
  <si>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</si>
  <si>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</si>
  <si>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</si>
  <si>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</si>
  <si>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</si>
  <si>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</si>
  <si>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</si>
  <si>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</si>
  <si>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</si>
  <si>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</si>
  <si>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</si>
  <si>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</si>
  <si>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</si>
  <si>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</si>
  <si>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</si>
  <si>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</si>
  <si>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</si>
  <si>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</si>
  <si>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</si>
  <si>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</si>
  <si>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</si>
  <si>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</si>
  <si>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</si>
  <si>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</si>
  <si>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</si>
  <si>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</si>
  <si>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</si>
  <si>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</si>
  <si>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</si>
  <si>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</si>
  <si>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</si>
  <si>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</si>
  <si>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</si>
  <si>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</si>
  <si>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</si>
  <si>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</si>
  <si>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</si>
  <si>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</si>
  <si>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</si>
  <si>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</si>
  <si>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</si>
  <si>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</si>
  <si>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</si>
  <si>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</si>
  <si>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</si>
  <si>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</si>
  <si>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</si>
  <si>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</si>
  <si>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</si>
  <si>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</si>
  <si>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</si>
  <si>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</si>
  <si>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MAC地址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</si>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</sst>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65" activePane="bottomLeft" state="frozen"/>
      <selection pane="bottomLeft" activeCell="C58" sqref="C58:C7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12天14小时21分21秒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12天14小时21分20秒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12天14小时21分18秒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12天14小时21分17秒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12天14小时21分15秒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12天14小时21分14秒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8天7小时10分43秒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8天7小时9分48秒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8天7小时5分52秒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8天6小时59分7秒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8天6小时53分35秒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8天6小时51分21秒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8天6小时49分13秒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8天6小时36分36秒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8天6小时29分56秒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8天6小时28分50秒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8天6小时28分9秒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8天6小时26分17秒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8天6小时25分60秒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8天6小时25分39秒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8天6小时23分36秒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8天6小时20分19秒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2天6小时47分13秒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2天6小时33分1秒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2天6小时26分11秒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2天6小时6分47秒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14小时23分34秒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14小时22分35秒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14小时16分23秒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14小时4分25秒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13小时35分29秒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13小时32分57秒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13小时23分23秒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13小时23分21秒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13小时23分17秒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13小时23分15秒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13小时20分52秒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13小时15分40秒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13小时8分59秒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13小时3分24秒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10天5小时20分31秒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10天5小时20分27秒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10天5小时20分26秒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10天3小时59分54秒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1天6小时44分51秒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1天6小时36分31秒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0" t="str">
        <f ca="1">IFERROR(FormatTimeSpan(NOW()-LOOKUP(2,1/(F50:ZZ50&lt;&gt;""),F50:ZZ50)),"")</f>
        <v>7天2小时57分26秒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3天15小时20分35秒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1天6小时30分56秒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1天6小时29分59秒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1天6小时25分4秒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1天6小时22分36秒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1天6小时18分34秒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1天6小时13分30秒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12小时56分2秒</v>
      </c>
      <c r="F58" s="6">
        <v>45872.654270833336</v>
      </c>
      <c r="G58" s="6">
        <v>45874.902442129627</v>
      </c>
      <c r="H58" s="6">
        <v>45876.455787037034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12小时55分15秒</v>
      </c>
      <c r="F59" s="6">
        <v>45872.6559375</v>
      </c>
      <c r="G59" s="6">
        <v>45874.90761574074</v>
      </c>
      <c r="H59" s="6">
        <v>45876.456331018519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12小时53分1秒</v>
      </c>
      <c r="F60" s="6">
        <v>45872.658425925925</v>
      </c>
      <c r="G60" s="6">
        <v>45874.918553240743</v>
      </c>
      <c r="H60" s="6">
        <v>45876.457881944443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12小时48分60秒</v>
      </c>
      <c r="F61" s="6">
        <v>45872.663831018515</v>
      </c>
      <c r="G61" s="6">
        <v>45874.918749999997</v>
      </c>
      <c r="H61" s="6">
        <v>45876.4606712963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12小时35分30秒</v>
      </c>
      <c r="F62" s="6">
        <v>45872.667916666665</v>
      </c>
      <c r="G62" s="6">
        <v>45875.394502314812</v>
      </c>
      <c r="H62" s="6">
        <v>45876.470046296294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12小时32分3秒</v>
      </c>
      <c r="F63" s="6">
        <v>45872.669456018521</v>
      </c>
      <c r="G63" s="6">
        <v>45875.396111111113</v>
      </c>
      <c r="H63" s="6">
        <v>45876.472442129627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12小时25分18秒</v>
      </c>
      <c r="F64" s="6">
        <v>45872.68005787037</v>
      </c>
      <c r="G64" s="6">
        <v>45875.402824074074</v>
      </c>
      <c r="H64" s="6">
        <v>45876.477129629631</v>
      </c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12小时22分49秒</v>
      </c>
      <c r="F65" s="6">
        <v>45872.682604166665</v>
      </c>
      <c r="G65" s="6">
        <v>45875.435393518521</v>
      </c>
      <c r="H65" s="6">
        <v>45876.478854166664</v>
      </c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12小时21分4秒</v>
      </c>
      <c r="F66" s="6">
        <v>45872.685347222221</v>
      </c>
      <c r="G66" s="6">
        <v>45875.439768518518</v>
      </c>
      <c r="H66" s="6">
        <v>45876.480069444442</v>
      </c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12小时19分46秒</v>
      </c>
      <c r="F67" s="6">
        <v>45872.970543981479</v>
      </c>
      <c r="G67" s="6">
        <v>45875.450960648152</v>
      </c>
      <c r="H67" s="6">
        <v>45876.48097222222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12小时16分30秒</v>
      </c>
      <c r="F68" s="6">
        <v>45872.971782407411</v>
      </c>
      <c r="G68" s="6">
        <v>45875.457881944443</v>
      </c>
      <c r="H68" s="6">
        <v>45876.483240740738</v>
      </c>
    </row>
    <row r="69" spans="1:10" s="8" customFormat="1" x14ac:dyDescent="0.25">
      <c r="A69" s="18"/>
      <c r="B69" s="5" t="b">
        <v>0</v>
      </c>
      <c r="C69" s="14" t="s">
        <v>85</v>
      </c>
      <c r="D69"/>
      <c r="E69" s="25" t="str">
        <f ca="1">IFERROR(FormatTimeSpan(NOW()-LOOKUP(2,1/(F69:ZZ69&lt;&gt;""),F69:ZZ69)),"")</f>
        <v>6小时58分56秒</v>
      </c>
      <c r="F69" s="6">
        <v>45876.703773148147</v>
      </c>
    </row>
    <row r="70" spans="1:10" s="8" customFormat="1" x14ac:dyDescent="0.25">
      <c r="A70" s="18"/>
      <c r="B70" s="5" t="b">
        <v>0</v>
      </c>
      <c r="C70" s="14" t="s">
        <v>86</v>
      </c>
      <c r="D70"/>
      <c r="E70" s="25" t="str">
        <f ca="1">IFERROR(FormatTimeSpan(NOW()-LOOKUP(2,1/(F70:ZZ70&lt;&gt;""),F70:ZZ70)),"")</f>
        <v>6小时56分24秒</v>
      </c>
      <c r="F70" s="6">
        <v>45876.70553240741</v>
      </c>
      <c r="G70" s="6"/>
      <c r="H70" s="6"/>
      <c r="I70" s="6"/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6小时55分20秒</v>
      </c>
      <c r="F71" s="6">
        <v>45876.706273148149</v>
      </c>
      <c r="G71" s="6"/>
      <c r="H71" s="6"/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6小时37分16秒</v>
      </c>
      <c r="F72" s="6">
        <v>45876.718819444446</v>
      </c>
      <c r="G72" s="6"/>
      <c r="H72" s="6"/>
      <c r="I72" s="6"/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6小时33分38秒</v>
      </c>
      <c r="F73" s="6">
        <v>45876.721342592595</v>
      </c>
      <c r="G73" s="6"/>
      <c r="H73" s="6"/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6小时24分57秒</v>
      </c>
      <c r="F74" s="6">
        <v>45876.727372685185</v>
      </c>
      <c r="G74" s="6"/>
      <c r="H74" s="6"/>
    </row>
    <row r="75" spans="1:10" s="8" customFormat="1" x14ac:dyDescent="0.25">
      <c r="A75" s="18"/>
      <c r="B75" s="5" t="b">
        <v>0</v>
      </c>
      <c r="C75" s="14" t="s">
        <v>84</v>
      </c>
      <c r="D75"/>
      <c r="E75" s="26" t="str">
        <f ca="1">IFERROR(FormatTimeSpan(NOW()-LOOKUP(2,1/(F75:ZZ75&lt;&gt;""),F75:ZZ75)),"")</f>
        <v>6小时20分7秒</v>
      </c>
      <c r="F75" s="6">
        <v>45876.730729166666</v>
      </c>
      <c r="G75" s="6"/>
      <c r="H75" s="6"/>
    </row>
    <row r="76" spans="1:10" s="8" customFormat="1" x14ac:dyDescent="0.25">
      <c r="A76" s="18"/>
      <c r="B76" s="5" t="b">
        <v>0</v>
      </c>
      <c r="C76" s="14" t="s">
        <v>75</v>
      </c>
      <c r="D76"/>
      <c r="E76" s="26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 t="s">
        <v>76</v>
      </c>
      <c r="D77"/>
      <c r="E77" s="26" t="str">
        <f ca="1">IFERROR(FormatTimeSpan(NOW()-LOOKUP(2,1/(F77:ZZ77&lt;&gt;""),F77:ZZ77)),"")</f>
        <v/>
      </c>
      <c r="F77" s="6"/>
      <c r="G77" s="6"/>
      <c r="H77" s="6"/>
    </row>
    <row r="78" spans="1:10" s="8" customFormat="1" x14ac:dyDescent="0.25">
      <c r="A78" s="18"/>
      <c r="B78" s="5" t="b">
        <v>0</v>
      </c>
      <c r="C78" s="14" t="s">
        <v>77</v>
      </c>
      <c r="D78"/>
      <c r="E78" s="26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78</v>
      </c>
      <c r="D79"/>
      <c r="E79" s="26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79</v>
      </c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 t="s">
        <v>80</v>
      </c>
      <c r="D81"/>
      <c r="E81" s="26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 t="s">
        <v>81</v>
      </c>
      <c r="D82"/>
      <c r="E82" s="26" t="str">
        <f ca="1">IFERROR(FormatTimeSpan(NOW()-LOOKUP(2,1/(F82:ZZ82&lt;&gt;""),F82:ZZ82)),"")</f>
        <v/>
      </c>
      <c r="F82" s="6"/>
    </row>
    <row r="83" spans="1:8" s="8" customFormat="1" x14ac:dyDescent="0.25">
      <c r="A83" s="18"/>
      <c r="B83" s="5" t="b">
        <v>0</v>
      </c>
      <c r="C83" s="14" t="s">
        <v>82</v>
      </c>
      <c r="D83"/>
      <c r="E83" s="26" t="str">
        <f ca="1">IFERROR(FormatTimeSpan(NOW()-LOOKUP(2,1/(F83:ZZ83&lt;&gt;""),F83:ZZ83)),"")</f>
        <v/>
      </c>
      <c r="F83" s="6"/>
    </row>
    <row r="84" spans="1:8" s="8" customFormat="1" x14ac:dyDescent="0.25">
      <c r="A84" s="18" t="s">
        <v>83</v>
      </c>
      <c r="B84" s="5" t="b">
        <v>0</v>
      </c>
      <c r="C84" s="14"/>
      <c r="D84"/>
      <c r="E84" s="27" t="str">
        <f>IFERROR(FormatTimeSpan(Z$1-LOOKUP(2,1/(F84:ZZ84&lt;&gt;""),F84:ZZ84)),"")</f>
        <v/>
      </c>
      <c r="F84" s="6"/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  <c r="F85" s="6"/>
      <c r="G85" s="6"/>
      <c r="H85" s="6"/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6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6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6" t="str">
        <f ca="1">IFERROR(FormatTimeSpan(NOW()-LOOKUP(2,1/(F114:ZZ114&lt;&gt;""),F114:ZZ114)),"")</f>
        <v/>
      </c>
    </row>
    <row r="115" spans="1:5" s="1" customFormat="1" x14ac:dyDescent="0.25">
      <c r="A115" s="19"/>
      <c r="C115" s="16"/>
      <c r="D115"/>
      <c r="E115" s="28"/>
    </row>
    <row r="116" spans="1:5" s="1" customFormat="1" x14ac:dyDescent="0.25">
      <c r="A116" s="19"/>
      <c r="C116" s="16"/>
      <c r="E116" s="28"/>
    </row>
    <row r="117" spans="1:5" s="1" customFormat="1" x14ac:dyDescent="0.25">
      <c r="A117" s="19"/>
      <c r="C117" s="16"/>
      <c r="E117" s="28"/>
    </row>
    <row r="118" spans="1:5" x14ac:dyDescent="0.25">
      <c r="E118" s="28"/>
    </row>
    <row r="119" spans="1:5" x14ac:dyDescent="0.25">
      <c r="E119" s="28"/>
    </row>
    <row r="120" spans="1:5" x14ac:dyDescent="0.25">
      <c r="E120" s="28"/>
    </row>
    <row r="121" spans="1:5" x14ac:dyDescent="0.25">
      <c r="E121" s="28"/>
    </row>
    <row r="122" spans="1:5" x14ac:dyDescent="0.25">
      <c r="E122" s="28"/>
    </row>
    <row r="123" spans="1:5" x14ac:dyDescent="0.25">
      <c r="E123" s="28"/>
    </row>
    <row r="124" spans="1:5" x14ac:dyDescent="0.25">
      <c r="E124" s="28"/>
    </row>
    <row r="125" spans="1:5" x14ac:dyDescent="0.25">
      <c r="E125" s="28"/>
    </row>
    <row r="126" spans="1:5" x14ac:dyDescent="0.25">
      <c r="E126" s="28"/>
    </row>
    <row r="127" spans="1:5" x14ac:dyDescent="0.25"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8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9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4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5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6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7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8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9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0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1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2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3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4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5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6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7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8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9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0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1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2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3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4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5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6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7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8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9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0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1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2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3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4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5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6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7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8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9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0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1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2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3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4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5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6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7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8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9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0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1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2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3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4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5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6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7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8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9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0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1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2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3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2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2025-08-07T15:52:23Z</dcterms:modified>
</cp:coreProperties>
</file>