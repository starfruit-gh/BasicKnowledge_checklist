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83DE2D7F-24E4-4E92-BE83-C962B22D3013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" l="1"/>
  <c r="E95" i="2"/>
  <c r="E31" i="2"/>
  <c r="E104" i="2"/>
  <c r="E77" i="2"/>
  <c r="E101" i="2"/>
  <c r="E61" i="2"/>
  <c r="E112" i="2"/>
  <c r="E74" i="2"/>
  <c r="E84" i="2"/>
  <c r="E81" i="2"/>
  <c r="E36" i="2"/>
  <c r="E90" i="2"/>
  <c r="E43" i="2"/>
  <c r="E23" i="2"/>
  <c r="E70" i="2"/>
  <c r="E66" i="2"/>
  <c r="E78" i="2"/>
  <c r="E57" i="2"/>
  <c r="E55" i="2"/>
  <c r="E56" i="2"/>
  <c r="E87" i="2"/>
  <c r="E72" i="2"/>
  <c r="E62" i="2"/>
  <c r="E107" i="2"/>
  <c r="E73" i="2"/>
  <c r="E67" i="2"/>
  <c r="E69" i="2"/>
  <c r="E54" i="2"/>
  <c r="E91" i="2"/>
  <c r="E32" i="2"/>
  <c r="E35" i="2"/>
  <c r="E46" i="2"/>
  <c r="E71" i="2"/>
  <c r="E30" i="2"/>
  <c r="E53" i="2"/>
  <c r="E48" i="2"/>
  <c r="E26" i="2"/>
  <c r="E49" i="2"/>
  <c r="E64" i="2"/>
  <c r="E65" i="2"/>
  <c r="E110" i="2"/>
  <c r="E88" i="2"/>
  <c r="E38" i="2"/>
  <c r="E59" i="2"/>
  <c r="E106" i="2"/>
  <c r="E39" i="2"/>
  <c r="E16" i="2" a="1"/>
  <c r="E24" i="2"/>
  <c r="E63" i="2"/>
  <c r="E4" i="2" a="1"/>
  <c r="E20" i="2"/>
  <c r="E6" i="2"/>
  <c r="E12" i="2" a="1"/>
  <c r="E42" i="2"/>
  <c r="E113" i="2"/>
  <c r="E33" i="2"/>
  <c r="E60" i="2"/>
  <c r="E11" i="2" a="1"/>
  <c r="E100" i="2"/>
  <c r="E97" i="2"/>
  <c r="E21" i="2"/>
  <c r="E28" i="2"/>
  <c r="E108" i="2"/>
  <c r="E47" i="2"/>
  <c r="E52" i="2"/>
  <c r="E40" i="2"/>
  <c r="E9" i="2"/>
  <c r="E68" i="2"/>
  <c r="E51" i="2"/>
  <c r="E99" i="2"/>
  <c r="E25" i="2"/>
  <c r="E34" i="2"/>
  <c r="E85" i="2"/>
  <c r="E109" i="2"/>
  <c r="E44" i="2"/>
  <c r="E96" i="2"/>
  <c r="E7" i="2" a="1"/>
  <c r="E50" i="2"/>
  <c r="E75" i="2"/>
  <c r="E41" i="2"/>
  <c r="E82" i="2"/>
  <c r="E92" i="2"/>
  <c r="E103" i="2"/>
  <c r="E17" i="2"/>
  <c r="E37" i="2"/>
  <c r="E93" i="2"/>
  <c r="E8" i="2" a="1"/>
  <c r="E19" i="2"/>
  <c r="E102" i="2"/>
  <c r="E98" i="2"/>
  <c r="E15" i="2"/>
  <c r="E80" i="2"/>
  <c r="E13" i="2" a="1"/>
  <c r="E111" i="2"/>
  <c r="E76" i="2"/>
  <c r="E94" i="2"/>
  <c r="E58" i="2"/>
  <c r="E18" i="2"/>
  <c r="E27" i="2"/>
  <c r="E5" i="2" a="1"/>
  <c r="E86" i="2"/>
  <c r="E105" i="2"/>
  <c r="E22" i="2"/>
  <c r="E14" i="2"/>
  <c r="E89" i="2"/>
  <c r="E79" i="2"/>
  <c r="E45" i="2"/>
  <c r="E29" i="2"/>
  <c r="E10" i="2" a="1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<sst xmlns="http://schemas.openxmlformats.org/spreadsheetml/2006/main" count="86" uniqueCount="86">
  <si>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</si>
  <si>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</si>
  <si>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</si>
  <si>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</si>
  <si>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</si>
  <si>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</si>
  <si>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</si>
  <si>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</si>
  <si>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</si>
  <si>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</si>
  <si>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</si>
  <si>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</si>
  <si>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</si>
  <si>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</si>
  <si>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</si>
  <si>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</si>
  <si>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</si>
  <si>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</si>
  <si>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</si>
  <si>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</si>
  <si>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</si>
  <si>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</si>
  <si>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</si>
  <si>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</si>
  <si>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</si>
  <si>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</si>
  <si>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</si>
  <si>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</si>
  <si>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</si>
  <si>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</si>
  <si>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</si>
  <si>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</si>
  <si>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</si>
  <si>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</si>
  <si>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</si>
  <si>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</si>
  <si>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</si>
  <si>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</si>
  <si>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</si>
  <si>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</si>
  <si>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</si>
  <si>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</si>
  <si>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</si>
  <si>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</si>
  <si>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</si>
  <si>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</si>
  <si>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</si>
  <si>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</si>
  <si>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</si>
  <si>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</si>
  <si>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</si>
  <si>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</si>
  <si>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</si>
  <si>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</si>
  <si>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</si>
  <si>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</si>
  <si>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</si>
  <si>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</si>
  <si>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</si>
  <si>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</si>
  <si>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</si>
  <si>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</si>
  <si>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</si>
  <si>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</si>
  <si>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</si>
  <si>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</si>
  <si>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</si>
  <si>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</si>
  <si>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</si>
  <si>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</si>
  <si>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</si>
  <si>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CSMA/CA&gt;为什么广播信道的无线局域网不能使用CSMA/CD</t>
    <phoneticPr fontId="2" type="noConversion"/>
  </si>
  <si>
    <t>CSMA/CA&gt;CA及两种媒体接入控制方式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</si>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</sst>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C83" sqref="C83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5天22小时42分45秒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5天22小时42分44秒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5天22小时42分42秒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5天22小时42分41秒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5天22小时42分39秒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5天22小时42分38秒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1天15小时32分7秒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1天15小时31分12秒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1天15小时27分16秒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1天15小时20分31秒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1天15小时14分59秒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1天15小时12分45秒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1天15小时10分37秒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1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1天14小时58分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1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1天14小时51分20秒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1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1天14小时50分14秒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1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1天14小时49分33秒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1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1天14小时47分41秒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1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1天14小时47分24秒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1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1天14小时47分3秒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1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1天14小时45分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1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1天14小时41分43秒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1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10天22小时29分41秒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1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10天22小时13分58秒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1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10天21小时47分42秒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1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10天21小时41分35秒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1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10天21小时32分35秒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1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8天23小时48分30秒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1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8天23小时37分6秒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8天23小时32分18秒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8天23小时27分11秒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8天23小时21分54秒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8天23小时20分16秒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8天23小时20分8秒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8天23小时20分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8天23小时19分57秒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8天23小时18分7秒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8天23小时12分41秒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5天22小时42分35秒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5天22小时42分33秒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3天13小时41分55秒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3天13小时41分51秒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3天13小时41分50秒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3天12小时21分18秒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3天13小时41分47秒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3天13小时41分15秒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11小时18分50秒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4" t="str">
        <f ca="1">IFERROR(FormatTimeSpan(NOW()-LOOKUP(2,1/(F51:ZZ51&lt;&gt;""),F51:ZZ51)),"")</f>
        <v>11小时18分47秒</v>
      </c>
      <c r="F51" s="6">
        <v>45866.362372685187</v>
      </c>
      <c r="G51" s="6">
        <v>45867.345706018517</v>
      </c>
      <c r="H51" s="6">
        <v>45869.871516203704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11小时18分41秒</v>
      </c>
      <c r="F52" s="6">
        <v>45869.87158564815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11小时18分41秒</v>
      </c>
      <c r="F53" s="6">
        <v>45869.87158564815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11小时18分41秒</v>
      </c>
      <c r="F54" s="6">
        <v>45869.87158564815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11小时18分41秒</v>
      </c>
      <c r="F55" s="6">
        <v>45869.87158564815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11小时14分58秒</v>
      </c>
      <c r="F56" s="6">
        <v>45869.874166666668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11小时14分56秒</v>
      </c>
      <c r="F57" s="6">
        <v>45869.874189814815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/>
      </c>
      <c r="F59" s="6"/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/>
      </c>
      <c r="F61" s="6"/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/>
      </c>
      <c r="F62" s="6"/>
      <c r="G62" s="6"/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/>
      </c>
      <c r="F64" s="6"/>
      <c r="G64" s="6"/>
      <c r="H64" s="6"/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/>
      </c>
      <c r="F65" s="6"/>
      <c r="G65" s="6"/>
      <c r="H65" s="6"/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/>
      </c>
      <c r="F66" s="6"/>
      <c r="G66" s="6"/>
      <c r="H66" s="6"/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/>
      </c>
      <c r="F67" s="6"/>
      <c r="G67" s="6"/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71</v>
      </c>
      <c r="D69"/>
      <c r="E69" s="25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72</v>
      </c>
      <c r="D70"/>
      <c r="E70" s="25" t="str">
        <f ca="1">IFERROR(FormatTimeSpan(NOW()-LOOKUP(2,1/(F70:ZZ70&lt;&gt;""),F70:ZZ70)),"")</f>
        <v/>
      </c>
      <c r="F70" s="6"/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73</v>
      </c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5">
      <c r="A72" s="18"/>
      <c r="B72" s="5" t="b">
        <v>0</v>
      </c>
      <c r="C72" s="14" t="s">
        <v>74</v>
      </c>
      <c r="D72"/>
      <c r="E72" s="25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75</v>
      </c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 t="s">
        <v>76</v>
      </c>
      <c r="D74"/>
      <c r="E74" s="25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5">
      <c r="A75" s="18"/>
      <c r="B75" s="5" t="b">
        <v>0</v>
      </c>
      <c r="C75" s="14" t="s">
        <v>77</v>
      </c>
      <c r="D75"/>
      <c r="E75" s="25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 t="s">
        <v>78</v>
      </c>
      <c r="D76"/>
      <c r="E76" s="25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79</v>
      </c>
      <c r="D77"/>
      <c r="E77" s="25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80</v>
      </c>
      <c r="D78"/>
      <c r="E78" s="25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81</v>
      </c>
      <c r="D79"/>
      <c r="E79" s="25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82</v>
      </c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83</v>
      </c>
      <c r="D81"/>
      <c r="E81" s="25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84</v>
      </c>
      <c r="D82"/>
      <c r="E82" s="25" t="str">
        <f ca="1">IFERROR(FormatTimeSpan(NOW()-LOOKUP(2,1/(F82:ZZ82&lt;&gt;""),F82:ZZ82)),"")</f>
        <v/>
      </c>
      <c r="F82" s="6"/>
    </row>
    <row r="83" spans="1:8" s="8" customFormat="1" x14ac:dyDescent="0.25">
      <c r="A83" s="18" t="s">
        <v>85</v>
      </c>
      <c r="B83" s="5" t="b">
        <v>0</v>
      </c>
      <c r="C83" s="14"/>
      <c r="D83"/>
      <c r="E83" s="26" t="str">
        <f>IFERROR(FormatTimeSpan(Z$1-LOOKUP(2,1/(F83:ZZ83&lt;&gt;""),F83:ZZ83)),"")</f>
        <v/>
      </c>
      <c r="F83" s="6"/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  <c r="F84" s="6"/>
      <c r="G84" s="6"/>
      <c r="H84" s="6"/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5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5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5" t="str">
        <f ca="1">IFERROR(FormatTimeSpan(NOW()-LOOKUP(2,1/(F113:ZZ113&lt;&gt;""),F113:ZZ113)),"")</f>
        <v/>
      </c>
    </row>
    <row r="114" spans="1:5" s="1" customFormat="1" x14ac:dyDescent="0.25">
      <c r="A114" s="19"/>
      <c r="C114" s="16"/>
      <c r="D114"/>
      <c r="E114" s="27"/>
    </row>
    <row r="115" spans="1:5" s="1" customFormat="1" x14ac:dyDescent="0.25">
      <c r="A115" s="19"/>
      <c r="C115" s="16"/>
      <c r="E115" s="27"/>
    </row>
    <row r="116" spans="1:5" s="1" customFormat="1" x14ac:dyDescent="0.25">
      <c r="A116" s="19"/>
      <c r="C116" s="16"/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8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0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1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4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5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6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7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8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9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0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1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2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3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4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5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6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7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8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9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0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1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2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3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4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5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6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7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8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9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0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1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2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3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4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5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6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7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8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9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0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1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2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3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4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5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6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8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9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0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1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3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4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5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6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7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8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9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0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1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2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6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7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8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9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0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1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6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7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8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0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1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2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3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4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5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2025-08-01T00:13:47Z</dcterms:modified>
</cp:coreProperties>
</file>