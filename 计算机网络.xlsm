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9B00CDA8-9241-4B2D-96ED-F22BA126DA01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" l="1"/>
  <c r="E81" i="2"/>
  <c r="E103" i="2"/>
  <c r="E76" i="2"/>
  <c r="E21" i="2"/>
  <c r="E8" i="2" a="1"/>
  <c r="E90" i="2"/>
  <c r="E101" i="2"/>
  <c r="E73" i="2"/>
  <c r="E50" i="2"/>
  <c r="E15" i="2"/>
  <c r="E34" i="2"/>
  <c r="E96" i="2"/>
  <c r="E91" i="2"/>
  <c r="E5" i="2" a="1"/>
  <c r="E4" i="2" a="1"/>
  <c r="E75" i="2"/>
  <c r="E68" i="2"/>
  <c r="E13" i="2" a="1"/>
  <c r="E113" i="2"/>
  <c r="E27" i="2"/>
  <c r="E86" i="2"/>
  <c r="E47" i="2"/>
  <c r="E35" i="2"/>
  <c r="E53" i="2"/>
  <c r="E39" i="2"/>
  <c r="E54" i="2"/>
  <c r="E82" i="2"/>
  <c r="E70" i="2"/>
  <c r="E37" i="2"/>
  <c r="E79" i="2"/>
  <c r="E22" i="2"/>
  <c r="E64" i="2"/>
  <c r="E74" i="2"/>
  <c r="E89" i="2"/>
  <c r="E80" i="2"/>
  <c r="E108" i="2"/>
  <c r="E44" i="2"/>
  <c r="E19" i="2"/>
  <c r="E93" i="2"/>
  <c r="E111" i="2"/>
  <c r="E97" i="2"/>
  <c r="E104" i="2"/>
  <c r="E16" i="2" a="1"/>
  <c r="E100" i="2"/>
  <c r="E41" i="2"/>
  <c r="E63" i="2"/>
  <c r="E109" i="2"/>
  <c r="E6" i="2"/>
  <c r="E46" i="2"/>
  <c r="E42" i="2"/>
  <c r="E62" i="2"/>
  <c r="E78" i="2"/>
  <c r="E26" i="2"/>
  <c r="E24" i="2"/>
  <c r="E72" i="2"/>
  <c r="E20" i="2"/>
  <c r="E110" i="2"/>
  <c r="E85" i="2"/>
  <c r="E107" i="2"/>
  <c r="E11" i="2" a="1"/>
  <c r="E38" i="2"/>
  <c r="E49" i="2"/>
  <c r="E112" i="2"/>
  <c r="E36" i="2"/>
  <c r="E28" i="2"/>
  <c r="E57" i="2"/>
  <c r="E71" i="2"/>
  <c r="E17" i="2"/>
  <c r="E88" i="2"/>
  <c r="E56" i="2"/>
  <c r="E66" i="2"/>
  <c r="E51" i="2"/>
  <c r="E23" i="2"/>
  <c r="E87" i="2"/>
  <c r="E10" i="2" a="1"/>
  <c r="E48" i="2"/>
  <c r="E33" i="2"/>
  <c r="E32" i="2"/>
  <c r="E84" i="2"/>
  <c r="E105" i="2"/>
  <c r="E92" i="2"/>
  <c r="E98" i="2"/>
  <c r="E14" i="2"/>
  <c r="E18" i="2"/>
  <c r="E12" i="2" a="1"/>
  <c r="E102" i="2"/>
  <c r="E69" i="2"/>
  <c r="E67" i="2"/>
  <c r="E106" i="2"/>
  <c r="E7" i="2" a="1"/>
  <c r="E60" i="2"/>
  <c r="E43" i="2"/>
  <c r="E29" i="2"/>
  <c r="E30" i="2"/>
  <c r="E31" i="2"/>
  <c r="E61" i="2"/>
  <c r="E9" i="2"/>
  <c r="E59" i="2"/>
  <c r="E95" i="2"/>
  <c r="E25" i="2"/>
  <c r="E99" i="2"/>
  <c r="E40" i="2"/>
  <c r="E55" i="2"/>
  <c r="E77" i="2"/>
  <c r="E65" i="2"/>
  <c r="E94" i="2"/>
  <c r="E58" i="2"/>
  <c r="E52" i="2"/>
  <c r="E45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<sst xmlns="http://schemas.openxmlformats.org/spreadsheetml/2006/main" count="86" uniqueCount="86">
  <si>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</si>
  <si>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</si>
  <si>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</si>
  <si>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</si>
  <si>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</si>
  <si>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</si>
  <si>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</si>
  <si>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</si>
  <si>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</si>
  <si>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</si>
  <si>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</si>
  <si>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</si>
  <si>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</si>
  <si>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</si>
  <si>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</si>
  <si>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</si>
  <si>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</si>
  <si>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</si>
  <si>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</si>
  <si>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</si>
  <si>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</si>
  <si>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</si>
  <si>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</si>
  <si>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</si>
  <si>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</si>
  <si>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</si>
  <si>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</si>
  <si>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</si>
  <si>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</si>
  <si>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</si>
  <si>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</si>
  <si>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</si>
  <si>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</si>
  <si>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</si>
  <si>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</si>
  <si>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</si>
  <si>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</si>
  <si>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</si>
  <si>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</si>
  <si>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</si>
  <si>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</si>
  <si>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</si>
  <si>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</si>
  <si>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</si>
  <si>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</si>
  <si>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</si>
  <si>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</si>
  <si>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</si>
  <si>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</si>
  <si>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</si>
  <si>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</si>
  <si>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</si>
  <si>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</si>
  <si>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</si>
  <si>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</si>
  <si>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</si>
  <si>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</si>
  <si>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</si>
  <si>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</si>
  <si>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</si>
  <si>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</si>
  <si>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</si>
  <si>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</si>
  <si>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</si>
  <si>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</si>
  <si>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</si>
  <si>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</si>
  <si>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</si>
  <si>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</si>
  <si>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</si>
  <si>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</si>
  <si>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CSMA/CA&gt;为什么广播信道的无线局域网不能使用CSMA/CD</t>
    <phoneticPr fontId="2" type="noConversion"/>
  </si>
  <si>
    <t>CSMA/CA&gt;CA及两种媒体接入控制方式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</si>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</sst>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9" activePane="bottomLeft" state="frozen"/>
      <selection pane="bottomLeft" activeCell="C52" sqref="C52:C69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8天17小时45分23秒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8天17小时45分22秒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8天17小时45分20秒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8天17小时45分19秒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8天17小时45分17秒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8天17小时45分16秒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4天10小时34分45秒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4天10小时33分50秒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4天10小时29分54秒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4天10小时23分9秒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4天10小时17分37秒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4天10小时15分23秒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4天10小时13分15秒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1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4天10小时38秒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1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4天9小时53分58秒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1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4天9小时52分52秒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1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4天9小时52分11秒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1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4天9小时50分19秒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1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4天9小时50分2秒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1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4天9小时49分41秒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1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4天9小时47分38秒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1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4天9小时44分21秒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1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13天17小时32分19秒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1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13天17小时16分36秒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1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13天16小时50分20秒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1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13天16小时44分13秒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1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13天16小时35分13秒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1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11天18小时51分8秒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1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11天18小时39分44秒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11天18小时34分56秒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11天18小时29分49秒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11天18小时24分32秒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11天18小时22分54秒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11天18小时22分46秒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11天18小时22分38秒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11天18小时22分35秒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11天18小时20分45秒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11天18小时15分19秒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8天17小时45分13秒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8天17小时45分11秒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6天8小时44分33秒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6天8小时44分29秒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6天8小时44分28秒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6天7小时23分56秒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6天8小时44分25秒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6天8小时43分53秒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3天6小时21分28秒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8" t="str">
        <f ca="1">IFERROR(FormatTimeSpan(NOW()-LOOKUP(2,1/(F51:ZZ51&lt;&gt;""),F51:ZZ51)),"")</f>
        <v>3天6小时21分25秒</v>
      </c>
      <c r="F51" s="6">
        <v>45866.362372685187</v>
      </c>
      <c r="G51" s="6">
        <v>45867.345706018517</v>
      </c>
      <c r="H51" s="6">
        <v>45869.871516203704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4" t="str">
        <f ca="1">IFERROR(FormatTimeSpan(NOW()-LOOKUP(2,1/(F52:ZZ52&lt;&gt;""),F52:ZZ52)),"")</f>
        <v>11小时45分5秒</v>
      </c>
      <c r="F52" s="6">
        <v>45869.87158564815</v>
      </c>
      <c r="G52" s="6">
        <v>45870.992708333331</v>
      </c>
      <c r="H52" s="6">
        <v>45872.646747685183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4" t="str">
        <f ca="1">IFERROR(FormatTimeSpan(NOW()-LOOKUP(2,1/(F53:ZZ53&lt;&gt;""),F53:ZZ53)),"")</f>
        <v>11小时44分27秒</v>
      </c>
      <c r="F53" s="6">
        <v>45869.87158564815</v>
      </c>
      <c r="G53" s="6">
        <v>45870.99318287037</v>
      </c>
      <c r="H53" s="6">
        <v>45872.647187499999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4" t="str">
        <f ca="1">IFERROR(FormatTimeSpan(NOW()-LOOKUP(2,1/(F54:ZZ54&lt;&gt;""),F54:ZZ54)),"")</f>
        <v>11小时42分49秒</v>
      </c>
      <c r="F54" s="6">
        <v>45869.87158564815</v>
      </c>
      <c r="G54" s="6">
        <v>45870.994074074071</v>
      </c>
      <c r="H54" s="6">
        <v>45872.648321759261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4" t="str">
        <f ca="1">IFERROR(FormatTimeSpan(NOW()-LOOKUP(2,1/(F55:ZZ55&lt;&gt;""),F55:ZZ55)),"")</f>
        <v>11小时39分7秒</v>
      </c>
      <c r="F55" s="6">
        <v>45869.87158564815</v>
      </c>
      <c r="G55" s="6">
        <v>45870.995266203703</v>
      </c>
      <c r="H55" s="6">
        <v>45872.650891203702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4" t="str">
        <f ca="1">IFERROR(FormatTimeSpan(NOW()-LOOKUP(2,1/(F56:ZZ56&lt;&gt;""),F56:ZZ56)),"")</f>
        <v>11小时37分41秒</v>
      </c>
      <c r="F56" s="6">
        <v>45869.874166666668</v>
      </c>
      <c r="G56" s="6">
        <v>45870.996365740742</v>
      </c>
      <c r="H56" s="6">
        <v>45872.651886574073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4" t="str">
        <f ca="1">IFERROR(FormatTimeSpan(NOW()-LOOKUP(2,1/(F57:ZZ57&lt;&gt;""),F57:ZZ57)),"")</f>
        <v>11小时35分42秒</v>
      </c>
      <c r="F57" s="6">
        <v>45869.874189814815</v>
      </c>
      <c r="G57" s="6">
        <v>45870.998124999998</v>
      </c>
      <c r="H57" s="6">
        <v>45872.653263888889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11小时34分15秒</v>
      </c>
      <c r="F58" s="6">
        <v>45872.654270833336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11小时31分51秒</v>
      </c>
      <c r="F59" s="6">
        <v>45872.6559375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11小时28分16秒</v>
      </c>
      <c r="F60" s="6">
        <v>45872.658425925925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11小时20分29秒</v>
      </c>
      <c r="F61" s="6">
        <v>45872.663831018515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11小时14分36秒</v>
      </c>
      <c r="F62" s="6">
        <v>45872.667916666665</v>
      </c>
      <c r="G62" s="6"/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11小时12分23秒</v>
      </c>
      <c r="F63" s="6">
        <v>45872.669456018521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10小时57分7秒</v>
      </c>
      <c r="F64" s="6">
        <v>45872.68005787037</v>
      </c>
      <c r="G64" s="6"/>
      <c r="H64" s="6"/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10小时53分27秒</v>
      </c>
      <c r="F65" s="6">
        <v>45872.682604166665</v>
      </c>
      <c r="G65" s="6"/>
      <c r="H65" s="6"/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10小时49分30秒</v>
      </c>
      <c r="F66" s="6">
        <v>45872.685347222221</v>
      </c>
      <c r="G66" s="6"/>
      <c r="H66" s="6"/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3小时58分49秒</v>
      </c>
      <c r="F67" s="6">
        <v>45872.970543981479</v>
      </c>
      <c r="G67" s="6"/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3小时57分2秒</v>
      </c>
      <c r="F68" s="6">
        <v>45872.971782407411</v>
      </c>
    </row>
    <row r="69" spans="1:10" s="8" customFormat="1" x14ac:dyDescent="0.25">
      <c r="A69" s="18"/>
      <c r="B69" s="5" t="b">
        <v>0</v>
      </c>
      <c r="C69" s="14" t="s">
        <v>71</v>
      </c>
      <c r="D69"/>
      <c r="E69" s="25" t="str">
        <f ca="1">IFERROR(FormatTimeSpan(NOW()-LOOKUP(2,1/(F69:ZZ69&lt;&gt;""),F69:ZZ69)),"")</f>
        <v>3小时48分41秒</v>
      </c>
      <c r="F69" s="6">
        <v>45872.977581018517</v>
      </c>
    </row>
    <row r="70" spans="1:10" s="8" customFormat="1" x14ac:dyDescent="0.25">
      <c r="A70" s="18"/>
      <c r="B70" s="5" t="b">
        <v>0</v>
      </c>
      <c r="C70" s="14" t="s">
        <v>72</v>
      </c>
      <c r="D70"/>
      <c r="E70" s="25" t="str">
        <f ca="1">IFERROR(FormatTimeSpan(NOW()-LOOKUP(2,1/(F70:ZZ70&lt;&gt;""),F70:ZZ70)),"")</f>
        <v/>
      </c>
      <c r="F70" s="6"/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73</v>
      </c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5">
      <c r="A72" s="18"/>
      <c r="B72" s="5" t="b">
        <v>0</v>
      </c>
      <c r="C72" s="14" t="s">
        <v>74</v>
      </c>
      <c r="D72"/>
      <c r="E72" s="25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75</v>
      </c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 t="s">
        <v>76</v>
      </c>
      <c r="D74"/>
      <c r="E74" s="25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5">
      <c r="A75" s="18"/>
      <c r="B75" s="5" t="b">
        <v>0</v>
      </c>
      <c r="C75" s="14" t="s">
        <v>77</v>
      </c>
      <c r="D75"/>
      <c r="E75" s="25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 t="s">
        <v>78</v>
      </c>
      <c r="D76"/>
      <c r="E76" s="25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79</v>
      </c>
      <c r="D77"/>
      <c r="E77" s="25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80</v>
      </c>
      <c r="D78"/>
      <c r="E78" s="25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81</v>
      </c>
      <c r="D79"/>
      <c r="E79" s="25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82</v>
      </c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83</v>
      </c>
      <c r="D81"/>
      <c r="E81" s="25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84</v>
      </c>
      <c r="D82"/>
      <c r="E82" s="25" t="str">
        <f ca="1">IFERROR(FormatTimeSpan(NOW()-LOOKUP(2,1/(F82:ZZ82&lt;&gt;""),F82:ZZ82)),"")</f>
        <v/>
      </c>
      <c r="F82" s="6"/>
    </row>
    <row r="83" spans="1:8" s="8" customFormat="1" x14ac:dyDescent="0.25">
      <c r="A83" s="18" t="s">
        <v>85</v>
      </c>
      <c r="B83" s="5" t="b">
        <v>0</v>
      </c>
      <c r="C83" s="14"/>
      <c r="D83"/>
      <c r="E83" s="26" t="str">
        <f>IFERROR(FormatTimeSpan(Z$1-LOOKUP(2,1/(F83:ZZ83&lt;&gt;""),F83:ZZ83)),"")</f>
        <v/>
      </c>
      <c r="F83" s="6"/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  <c r="F84" s="6"/>
      <c r="G84" s="6"/>
      <c r="H84" s="6"/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5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5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5" t="str">
        <f ca="1">IFERROR(FormatTimeSpan(NOW()-LOOKUP(2,1/(F113:ZZ113&lt;&gt;""),F113:ZZ113)),"")</f>
        <v/>
      </c>
    </row>
    <row r="114" spans="1:5" s="1" customFormat="1" x14ac:dyDescent="0.25">
      <c r="A114" s="19"/>
      <c r="C114" s="16"/>
      <c r="D114"/>
      <c r="E114" s="27"/>
    </row>
    <row r="115" spans="1:5" s="1" customFormat="1" x14ac:dyDescent="0.25">
      <c r="A115" s="19"/>
      <c r="C115" s="16"/>
      <c r="E115" s="27"/>
    </row>
    <row r="116" spans="1:5" s="1" customFormat="1" x14ac:dyDescent="0.25">
      <c r="A116" s="19"/>
      <c r="C116" s="16"/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8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0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1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4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5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6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7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8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9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0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1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2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3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4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5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6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7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8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9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0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1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2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3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4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5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6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7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8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9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0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1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2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3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4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5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6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7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8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9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0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1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2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3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4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5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6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8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9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0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1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3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4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5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6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7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8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9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0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1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2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6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7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8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9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0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1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6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7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8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0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1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2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3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4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5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2025-08-03T19:16:26Z</dcterms:modified>
</cp:coreProperties>
</file>