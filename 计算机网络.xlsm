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3168F64-7FC0-4F85-8379-E31EF2515FC8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45" i="2"/>
  <c r="E59" i="2"/>
  <c r="E64" i="2"/>
  <c r="E66" i="2"/>
  <c r="E118" i="2"/>
  <c r="E227" i="2"/>
  <c r="E184" i="2"/>
  <c r="E157" i="2"/>
  <c r="E15" i="2"/>
  <c r="E22" i="2"/>
  <c r="E70" i="2"/>
  <c r="E40" i="2"/>
  <c r="E229" i="2"/>
  <c r="E23" i="2"/>
  <c r="E119" i="2"/>
  <c r="E208" i="2"/>
  <c r="E243" i="2"/>
  <c r="E173" i="2"/>
  <c r="E48" i="2"/>
  <c r="E115" i="2"/>
  <c r="E182" i="2"/>
  <c r="E152" i="2"/>
  <c r="E72" i="2"/>
  <c r="E58" i="2"/>
  <c r="E79" i="2"/>
  <c r="E51" i="2"/>
  <c r="E231" i="2"/>
  <c r="E134" i="2"/>
  <c r="E192" i="2"/>
  <c r="E196" i="2"/>
  <c r="E85" i="2"/>
  <c r="E166" i="2"/>
  <c r="E180" i="2"/>
  <c r="E75" i="2"/>
  <c r="E27" i="2"/>
  <c r="E216" i="2"/>
  <c r="E26" i="2"/>
  <c r="E211" i="2"/>
  <c r="E123" i="2"/>
  <c r="E90" i="2"/>
  <c r="E96" i="2"/>
  <c r="E88" i="2"/>
  <c r="E125" i="2"/>
  <c r="E84" i="2"/>
  <c r="E101" i="2"/>
  <c r="E10" i="2" a="1"/>
  <c r="E183" i="2"/>
  <c r="E91" i="2"/>
  <c r="E248" i="2"/>
  <c r="E61" i="2"/>
  <c r="E217" i="2"/>
  <c r="E201" i="2"/>
  <c r="E223" i="2"/>
  <c r="E177" i="2"/>
  <c r="E159" i="2"/>
  <c r="E186" i="2"/>
  <c r="E141" i="2"/>
  <c r="E34" i="2"/>
  <c r="E106" i="2"/>
  <c r="E52" i="2"/>
  <c r="E92" i="2"/>
  <c r="E218" i="2"/>
  <c r="E94" i="2"/>
  <c r="E133" i="2"/>
  <c r="E161" i="2"/>
  <c r="E30" i="2"/>
  <c r="E117" i="2"/>
  <c r="E220" i="2"/>
  <c r="E37" i="2"/>
  <c r="E53" i="2"/>
  <c r="E160" i="2"/>
  <c r="E98" i="2"/>
  <c r="E56" i="2"/>
  <c r="E65" i="2"/>
  <c r="E139" i="2"/>
  <c r="E102" i="2"/>
  <c r="E50" i="2"/>
  <c r="E11" i="2" a="1"/>
  <c r="E147" i="2"/>
  <c r="E137" i="2"/>
  <c r="E21" i="2"/>
  <c r="E140" i="2"/>
  <c r="E185" i="2"/>
  <c r="E33" i="2"/>
  <c r="E171" i="2"/>
  <c r="E135" i="2"/>
  <c r="E41" i="2"/>
  <c r="E95" i="2"/>
  <c r="E107" i="2"/>
  <c r="E25" i="2"/>
  <c r="E31" i="2"/>
  <c r="E250" i="2"/>
  <c r="E114" i="2"/>
  <c r="E43" i="2"/>
  <c r="E57" i="2"/>
  <c r="E156" i="2"/>
  <c r="E20" i="2"/>
  <c r="E174" i="2"/>
  <c r="E121" i="2"/>
  <c r="E215" i="2"/>
  <c r="E163" i="2"/>
  <c r="E29" i="2"/>
  <c r="E47" i="2"/>
  <c r="E195" i="2"/>
  <c r="E153" i="2"/>
  <c r="E97" i="2"/>
  <c r="E222" i="2"/>
  <c r="E9" i="2"/>
  <c r="E81" i="2"/>
  <c r="E122" i="2"/>
  <c r="E39" i="2"/>
  <c r="E242" i="2"/>
  <c r="E32" i="2"/>
  <c r="E82" i="2"/>
  <c r="E116" i="2"/>
  <c r="E199" i="2"/>
  <c r="E246" i="2"/>
  <c r="E169" i="2"/>
  <c r="E151" i="2"/>
  <c r="E138" i="2"/>
  <c r="E7" i="2" a="1"/>
  <c r="E178" i="2"/>
  <c r="E68" i="2"/>
  <c r="E148" i="2"/>
  <c r="E207" i="2"/>
  <c r="E154" i="2"/>
  <c r="E28" i="2"/>
  <c r="E67" i="2"/>
  <c r="E105" i="2"/>
  <c r="E126" i="2"/>
  <c r="E205" i="2"/>
  <c r="E155" i="2"/>
  <c r="E168" i="2"/>
  <c r="E251" i="2"/>
  <c r="E206" i="2"/>
  <c r="E236" i="2"/>
  <c r="E45" i="2"/>
  <c r="E62" i="2"/>
  <c r="E54" i="2"/>
  <c r="E19" i="2"/>
  <c r="E16" i="2" a="1"/>
  <c r="E212" i="2"/>
  <c r="E179" i="2"/>
  <c r="E35" i="2"/>
  <c r="E150" i="2"/>
  <c r="E100" i="2"/>
  <c r="E108" i="2"/>
  <c r="E167" i="2"/>
  <c r="E233" i="2"/>
  <c r="E172" i="2"/>
  <c r="E132" i="2"/>
  <c r="E197" i="2"/>
  <c r="E175" i="2"/>
  <c r="E198" i="2"/>
  <c r="E187" i="2"/>
  <c r="E77" i="2"/>
  <c r="E74" i="2"/>
  <c r="E213" i="2"/>
  <c r="E170" i="2"/>
  <c r="E110" i="2"/>
  <c r="E228" i="2"/>
  <c r="E55" i="2"/>
  <c r="E238" i="2"/>
  <c r="E158" i="2"/>
  <c r="E149" i="2"/>
  <c r="E127" i="2"/>
  <c r="E6" i="2"/>
  <c r="E162" i="2"/>
  <c r="E219" i="2"/>
  <c r="E209" i="2"/>
  <c r="E237" i="2"/>
  <c r="E188" i="2"/>
  <c r="E193" i="2"/>
  <c r="E87" i="2"/>
  <c r="E93" i="2"/>
  <c r="E210" i="2"/>
  <c r="E203" i="2"/>
  <c r="E17" i="2"/>
  <c r="E189" i="2"/>
  <c r="E221" i="2"/>
  <c r="E112" i="2"/>
  <c r="E232" i="2"/>
  <c r="E214" i="2"/>
  <c r="E78" i="2"/>
  <c r="E71" i="2"/>
  <c r="E241" i="2"/>
  <c r="E234" i="2"/>
  <c r="E230" i="2"/>
  <c r="E104" i="2"/>
  <c r="E12" i="2" a="1"/>
  <c r="E190" i="2"/>
  <c r="E18" i="2"/>
  <c r="E235" i="2"/>
  <c r="E191" i="2"/>
  <c r="E224" i="2"/>
  <c r="E245" i="2"/>
  <c r="E46" i="2"/>
  <c r="E86" i="2"/>
  <c r="E24" i="2"/>
  <c r="E164" i="2"/>
  <c r="E144" i="2"/>
  <c r="E130" i="2"/>
  <c r="E42" i="2"/>
  <c r="E194" i="2"/>
  <c r="E38" i="2"/>
  <c r="E204" i="2"/>
  <c r="E129" i="2"/>
  <c r="E80" i="2"/>
  <c r="E113" i="2"/>
  <c r="E13" i="2" a="1"/>
  <c r="E120" i="2"/>
  <c r="E128" i="2"/>
  <c r="E49" i="2"/>
  <c r="E111" i="2"/>
  <c r="E69" i="2"/>
  <c r="E103" i="2"/>
  <c r="E200" i="2"/>
  <c r="E83" i="2"/>
  <c r="E202" i="2"/>
  <c r="E73" i="2"/>
  <c r="E244" i="2"/>
  <c r="E131" i="2"/>
  <c r="E109" i="2"/>
  <c r="E239" i="2"/>
  <c r="E225" i="2"/>
  <c r="E249" i="2"/>
  <c r="E44" i="2"/>
  <c r="E181" i="2"/>
  <c r="E76" i="2"/>
  <c r="E165" i="2"/>
  <c r="E240" i="2"/>
  <c r="E247" i="2"/>
  <c r="E36" i="2"/>
  <c r="E60" i="2"/>
  <c r="E8" i="2" a="1"/>
  <c r="E124" i="2"/>
  <c r="E63" i="2"/>
  <c r="E136" i="2"/>
  <c r="E14" i="2"/>
  <c r="E176" i="2"/>
  <c r="E146" i="2"/>
  <c r="E5" i="2" a="1"/>
  <c r="E89" i="2"/>
  <c r="E143" i="2"/>
  <c r="E4" i="2" a="1"/>
  <c r="E142" i="2"/>
  <c r="E226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<sst xmlns="http://schemas.openxmlformats.org/spreadsheetml/2006/main" count="225" uniqueCount="225">
  <si>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</si>
  <si>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</si>
  <si>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</si>
  <si>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</si>
  <si>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</si>
  <si>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</si>
  <si>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</si>
  <si>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</si>
  <si>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</si>
  <si>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</si>
  <si>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</si>
  <si>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</si>
  <si>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</si>
  <si>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</si>
  <si>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</si>
  <si>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</si>
  <si>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</si>
  <si>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</si>
  <si>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</si>
  <si>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</si>
  <si>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</si>
  <si>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</si>
  <si>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</si>
  <si>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</si>
  <si>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</si>
  <si>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</si>
  <si>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</si>
  <si>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</si>
  <si>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</si>
  <si>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</si>
  <si>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</si>
  <si>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</si>
  <si>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</si>
  <si>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</si>
  <si>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</si>
  <si>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</si>
  <si>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</si>
  <si>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</si>
  <si>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</si>
  <si>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</si>
  <si>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</si>
  <si>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</si>
  <si>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</si>
  <si>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</si>
  <si>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</si>
  <si>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</si>
  <si>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</si>
  <si>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</si>
  <si>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</si>
  <si>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</si>
  <si>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</si>
  <si>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</si>
  <si>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</si>
  <si>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</si>
  <si>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</si>
  <si>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</si>
  <si>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</si>
  <si>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</si>
  <si>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</si>
  <si>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</si>
  <si>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</si>
  <si>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</si>
  <si>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</si>
  <si>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</si>
  <si>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</si>
  <si>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</si>
  <si>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</si>
  <si>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</si>
  <si>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</si>
  <si>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</si>
  <si>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</si>
  <si>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</si>
  <si>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</si>
  <si>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</si>
  <si>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</si>
  <si>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</si>
  <si>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</si>
  <si>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</si>
  <si>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</si>
  <si>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</si>
  <si>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</si>
  <si>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</si>
  <si>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</si>
  <si>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</si>
  <si>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</si>
  <si>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</si>
  <si>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</si>
  <si>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</si>
  <si>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</si>
  <si>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</si>
  <si>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</si>
  <si>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</si>
  <si>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</si>
  <si>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</si>
  <si>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</si>
  <si>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</si>
  <si>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</si>
  <si>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</si>
  <si>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</si>
  <si>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</si>
  <si>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</si>
  <si>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</si>
  <si>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</si>
  <si>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</si>
  <si>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</si>
  <si>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</si>
  <si>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</si>
  <si>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</si>
  <si>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</si>
  <si>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</si>
  <si>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</si>
  <si>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</si>
  <si>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</si>
  <si>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</si>
  <si>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</si>
  <si>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</si>
  <si>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</si>
  <si>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</si>
  <si>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</si>
  <si>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</si>
  <si>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</si>
  <si>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</si>
  <si>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</si>
  <si>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</si>
  <si>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</si>
  <si>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</si>
  <si>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</si>
  <si>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</si>
  <si>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</si>
  <si>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</si>
  <si>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</si>
  <si>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</si>
  <si>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</si>
  <si>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</si>
  <si>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</si>
  <si>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</si>
  <si>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</si>
  <si>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</si>
  <si>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</si>
  <si>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</si>
  <si>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</si>
  <si>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</si>
  <si>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</si>
  <si>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</si>
  <si>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</si>
  <si>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</si>
  <si>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</si>
  <si>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</si>
  <si>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</si>
  <si>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</si>
  <si>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</si>
  <si>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</si>
  <si>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</si>
  <si>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</si>
  <si>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</si>
  <si>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</si>
  <si>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</si>
  <si>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</si>
  <si>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</si>
  <si>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</si>
  <si>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</si>
  <si>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</si>
  <si>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</si>
  <si>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</si>
  <si>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</si>
  <si>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</si>
  <si>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</si>
  <si>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</si>
  <si>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</si>
  <si>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</si>
  <si>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</si>
  <si>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</si>
  <si>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</si>
  <si>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</si>
  <si>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</si>
  <si>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</si>
  <si>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</si>
  <si>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</si>
  <si>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BGP适用于多级结构的英特网</t>
    <phoneticPr fontId="2" type="noConversion"/>
  </si>
  <si>
    <t>BGP-4规定的四种报文</t>
    <phoneticPr fontId="2" type="noConversion"/>
  </si>
  <si>
    <t>IPv4首部格式&gt;版本</t>
    <phoneticPr fontId="2" type="noConversion"/>
  </si>
  <si>
    <t>IPv4首部格式&gt;首部长度</t>
    <phoneticPr fontId="2" type="noConversion"/>
  </si>
  <si>
    <t>IPv4首部格式&gt;区分服务</t>
    <phoneticPr fontId="2" type="noConversion"/>
  </si>
  <si>
    <t>IPv4首部格式&gt;总长度</t>
    <phoneticPr fontId="2" type="noConversion"/>
  </si>
  <si>
    <t>首部长度和总长度的区别与联系</t>
    <phoneticPr fontId="2" type="noConversion"/>
  </si>
  <si>
    <t>IPv4首部格式&gt;可选字段</t>
    <phoneticPr fontId="2" type="noConversion"/>
  </si>
  <si>
    <t>IPv4首部格式&gt;填充字段</t>
    <phoneticPr fontId="2" type="noConversion"/>
  </si>
  <si>
    <t>IPv4首部格式&gt;标识</t>
    <phoneticPr fontId="2" type="noConversion"/>
  </si>
  <si>
    <t>IPv4首部格式&gt;标志</t>
    <phoneticPr fontId="2" type="noConversion"/>
  </si>
  <si>
    <t>IPv4首部格式&gt;片偏移</t>
    <phoneticPr fontId="2" type="noConversion"/>
  </si>
  <si>
    <t>IP数据包如何进行分片</t>
    <phoneticPr fontId="2" type="noConversion"/>
  </si>
  <si>
    <t>IPv4首部格式&gt;生存时间</t>
    <phoneticPr fontId="2" type="noConversion"/>
  </si>
  <si>
    <t>IPv4首部格式&gt;协议</t>
    <phoneticPr fontId="2" type="noConversion"/>
  </si>
  <si>
    <t>IPv4首部格式&gt;首部检验和</t>
    <phoneticPr fontId="2" type="noConversion"/>
  </si>
  <si>
    <t>IPv4首部格式&gt;源IP地址、目的IP地址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</si>
  <si>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</si>
  <si>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</si>
  <si>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</si>
  <si>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</si>
  <si>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</si>
  <si>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</si>
  <si>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</si>
  <si>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</si>
  <si>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</si>
  <si>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</si>
  <si>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</si>
  <si>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</si>
  <si>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</si>
  <si>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</si>
  <si>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</si>
  <si>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</si>
  <si>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</si>
  <si>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</si>
  <si>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</si>
  <si>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</si>
  <si>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</si>
  <si>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</si>
  <si>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</si>
  <si>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</si>
  <si>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</si>
  <si>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</si>
  <si>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</si>
  <si>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IP数据报的发送和转发的场景</t>
    <phoneticPr fontId="2" type="noConversion"/>
  </si>
  <si>
    <t>问候分组与邻居表</t>
    <phoneticPr fontId="2" type="noConversion"/>
  </si>
  <si>
    <t>LSA、LSU、LSDB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</si>
</sst>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60" activePane="bottomLeft" state="frozen"/>
      <selection pane="bottomLeft" activeCell="E168" sqref="E168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5天23小时51分3秒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5天23小时50分37秒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5天23小时47分12秒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5天23小时46分22秒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5天23小时42分21秒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5天23小时40分20秒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1天23小时40分8秒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1天23小时38分40秒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1天23小时30分2秒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1天23小时20分19秒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1天23小时16分28秒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1天23小时14分50秒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1天23小时10分16秒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1天23小时4分23秒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1天23小时3分13秒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1天22小时59分27秒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1天22小时58分8秒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1天22小时54分28秒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1天22小时53分39秒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1天22小时52分34秒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1天22小时46分27秒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1天22小时42分52秒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26天15小时29分53秒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26天15小时15分41秒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26天15小时8分51秒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26天14小时49分27秒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24天23小时6分14秒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24天23小时5分15秒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24天22小时59分3秒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24天22小时47分5秒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24天22小时18分9秒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24天22小时15分37秒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24天22小时6分3秒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24天22小时6分1秒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24天22小时5分57秒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24天22小时5分55秒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24天22小时3分32秒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24天21小时58分20秒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24天21小时51分39秒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24天21小时46分4秒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19天11小时42分28秒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19天11小时37分44秒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19天11小时31分5秒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19天11小时22分1秒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10天12小时5分12秒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10天11小时53分51秒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5天23小时5分37秒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5天21小时36分52秒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3天11小时42分46秒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3天11小时37分5秒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3天11小时33分56秒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3天11小时24分28秒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3天11小时19分10秒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3天11小时16分43秒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13天23小时24分13秒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13天23小时22分52秒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13天23小时21分5秒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13天23小时11分30秒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13天23小时4分59秒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13天23小时18秒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13天22小时53分37秒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13天22小时51分9秒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13天22小时48分44秒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13天22小时43分58秒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13天22小时42分30秒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11天21小时45分36秒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11天21小时36分50秒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11天21小时32分39秒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11天21小时21分14秒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11天21小时10分9秒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11天20小时44分39秒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11天20小时44分29秒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5天21小时33分47秒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5天21小时31分12秒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5天21小时25分16秒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5天21小时23分27秒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5天21小时20分20秒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5天21小时19分55秒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5天21小时18分34秒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5天21小时17分49秒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5天21小时15分4秒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5天21小时14分41秒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5天17小时38分1秒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5天17小时32分11秒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5天17小时21分11秒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5天17小时50秒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5天16小时56分31秒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5天16小时56分13秒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5天16小时39分13秒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5天16小时27分32秒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5天16小时9分24秒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5天16小时8分35秒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5天16小时8分1秒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5天16小时7分19秒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5天16小时5分56秒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3天23小时39分23秒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3天23小时34分59秒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3天23小时33分38秒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3天23小时31分49秒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3天23小时30分2秒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3天23小时29分8秒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1天22小时33分29秒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1天22小时32分40秒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1天22小时31分30秒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1天22小时24分57秒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1天22小时17分48秒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1天22小时16分58秒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1天22小时14分41秒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1天22小时14分4秒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1天22小时11分55秒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1天22小时11分20秒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1天22小时1分1秒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1天21小时58分51秒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1天21小时55分9秒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1天21小时53分6秒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1天21小时51分16秒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5天16小时2分11秒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10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5天16小时1分29秒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10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5天15小时58分29秒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10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5天15小时55分19秒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10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5天15小时54分51秒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10" s="8" customFormat="1" x14ac:dyDescent="0.2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5天15小时52分51秒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10" s="8" customFormat="1" x14ac:dyDescent="0.2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5天15小时51分16秒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10" s="8" customFormat="1" x14ac:dyDescent="0.2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5天15小时49分36秒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5天15小时48分34秒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5" t="str">
        <f ca="1">IFERROR(FormatTimeSpan(NOW()-LOOKUP(2,1/(F130:ZZ130&lt;&gt;""),F130:ZZ130)),"")</f>
        <v>5天15小时30分6秒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5" t="str">
        <f ca="1">IFERROR(FormatTimeSpan(NOW()-LOOKUP(2,1/(F131:ZZ131&lt;&gt;""),F131:ZZ131)),"")</f>
        <v>5天15小时28分49秒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5" t="str">
        <f ca="1">IFERROR(FormatTimeSpan(NOW()-LOOKUP(2,1/(F132:ZZ132&lt;&gt;""),F132:ZZ132)),"")</f>
        <v>5天15小时27分30秒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5" t="str">
        <f ca="1">IFERROR(FormatTimeSpan(NOW()-LOOKUP(2,1/(F133:ZZ133&lt;&gt;""),F133:ZZ133)),"")</f>
        <v>5天15小时25分59秒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1天21小时48分35秒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1天21小时48分5秒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</row>
    <row r="136" spans="1:9" s="8" customFormat="1" x14ac:dyDescent="0.2">
      <c r="A136" s="18"/>
      <c r="B136" s="5" t="b">
        <v>0</v>
      </c>
      <c r="C136" s="14" t="s">
        <v>218</v>
      </c>
      <c r="D136"/>
      <c r="E136" s="25" t="str">
        <f ca="1">IFERROR(FormatTimeSpan(NOW()-LOOKUP(2,1/(F136:ZZ136&lt;&gt;""),F136:ZZ136)),"")</f>
        <v>1天21小时46分26秒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5" t="str">
        <f ca="1">IFERROR(FormatTimeSpan(NOW()-LOOKUP(2,1/(F137:ZZ137&lt;&gt;""),F137:ZZ137)),"")</f>
        <v>1天21小时45分31秒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5" t="str">
        <f ca="1">IFERROR(FormatTimeSpan(NOW()-LOOKUP(2,1/(F138:ZZ138&lt;&gt;""),F138:ZZ138)),"")</f>
        <v>1天21小时45分2秒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5" t="str">
        <f ca="1">IFERROR(FormatTimeSpan(NOW()-LOOKUP(2,1/(F139:ZZ139&lt;&gt;""),F139:ZZ139)),"")</f>
        <v>10小时5分22秒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5" t="str">
        <f ca="1">IFERROR(FormatTimeSpan(NOW()-LOOKUP(2,1/(F140:ZZ140&lt;&gt;""),F140:ZZ140)),"")</f>
        <v>10小时2分50秒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5" t="str">
        <f ca="1">IFERROR(FormatTimeSpan(NOW()-LOOKUP(2,1/(F141:ZZ141&lt;&gt;""),F141:ZZ141)),"")</f>
        <v>9小时53分39秒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5" t="str">
        <f ca="1">IFERROR(FormatTimeSpan(NOW()-LOOKUP(2,1/(F142:ZZ142&lt;&gt;""),F142:ZZ142)),"")</f>
        <v>9小时52分44秒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5" t="str">
        <f ca="1">IFERROR(FormatTimeSpan(NOW()-LOOKUP(2,1/(F143:ZZ143&lt;&gt;""),F143:ZZ143)),"")</f>
        <v>9小时50分50秒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5" t="str">
        <f ca="1">IFERROR(FormatTimeSpan(NOW()-LOOKUP(2,1/(F144:ZZ144&lt;&gt;""),F144:ZZ144)),"")</f>
        <v>9小时48分43秒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</row>
    <row r="145" spans="1:9" s="1" customFormat="1" x14ac:dyDescent="0.2">
      <c r="A145" s="19"/>
      <c r="B145" s="5" t="b">
        <v>0</v>
      </c>
      <c r="C145" s="16" t="s">
        <v>146</v>
      </c>
      <c r="D145"/>
      <c r="E145" s="25" t="str">
        <f ca="1">IFERROR(FormatTimeSpan(NOW()-LOOKUP(2,1/(F145:ZZ145&lt;&gt;""),F145:ZZ145)),"")</f>
        <v>9小时46分14秒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</row>
    <row r="146" spans="1:9" s="1" customFormat="1" x14ac:dyDescent="0.2">
      <c r="A146" s="19"/>
      <c r="B146" s="5" t="b">
        <v>0</v>
      </c>
      <c r="C146" s="16" t="s">
        <v>147</v>
      </c>
      <c r="E146" s="25" t="str">
        <f ca="1">IFERROR(FormatTimeSpan(NOW()-LOOKUP(2,1/(F146:ZZ146&lt;&gt;""),F146:ZZ146)),"")</f>
        <v>9小时42分45秒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</row>
    <row r="147" spans="1:9" s="1" customFormat="1" x14ac:dyDescent="0.2">
      <c r="A147" s="19"/>
      <c r="B147" s="5" t="b">
        <v>0</v>
      </c>
      <c r="C147" s="16" t="s">
        <v>221</v>
      </c>
      <c r="E147" s="25" t="str">
        <f ca="1">IFERROR(FormatTimeSpan(NOW()-LOOKUP(2,1/(F147:ZZ147&lt;&gt;""),F147:ZZ147)),"")</f>
        <v>9小时41分59秒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</row>
    <row r="148" spans="1:9" x14ac:dyDescent="0.2">
      <c r="B148" s="5" t="b">
        <v>0</v>
      </c>
      <c r="C148" s="16" t="s">
        <v>222</v>
      </c>
      <c r="E148" s="25" t="str">
        <f ca="1">IFERROR(FormatTimeSpan(NOW()-LOOKUP(2,1/(F148:ZZ148&lt;&gt;""),F148:ZZ148)),"")</f>
        <v>9小时40分59秒</v>
      </c>
      <c r="F148" s="20">
        <v>45895.879328703704</v>
      </c>
      <c r="G148" s="20">
        <v>45896.665393518517</v>
      </c>
      <c r="H148" s="20">
        <v>45897.741481481484</v>
      </c>
      <c r="I148" s="20">
        <v>45900.954201388886</v>
      </c>
    </row>
    <row r="149" spans="1:9" x14ac:dyDescent="0.2">
      <c r="B149" s="5" t="b">
        <v>0</v>
      </c>
      <c r="C149" s="16" t="s">
        <v>149</v>
      </c>
      <c r="E149" s="25" t="str">
        <f ca="1">IFERROR(FormatTimeSpan(NOW()-LOOKUP(2,1/(F149:ZZ149&lt;&gt;""),F149:ZZ149)),"")</f>
        <v>9小时40分27秒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</row>
    <row r="150" spans="1:9" x14ac:dyDescent="0.2">
      <c r="B150" s="5" t="b">
        <v>0</v>
      </c>
      <c r="C150" s="16" t="s">
        <v>150</v>
      </c>
      <c r="E150" s="25" t="str">
        <f ca="1">IFERROR(FormatTimeSpan(NOW()-LOOKUP(2,1/(F150:ZZ150&lt;&gt;""),F150:ZZ150)),"")</f>
        <v>9小时38分50秒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</row>
    <row r="151" spans="1:9" x14ac:dyDescent="0.2">
      <c r="B151" s="5" t="b">
        <v>0</v>
      </c>
      <c r="C151" s="16" t="s">
        <v>151</v>
      </c>
      <c r="E151" s="25" t="str">
        <f ca="1">IFERROR(FormatTimeSpan(NOW()-LOOKUP(2,1/(F151:ZZ151&lt;&gt;""),F151:ZZ151)),"")</f>
        <v>9小时37分27秒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</row>
    <row r="152" spans="1:9" x14ac:dyDescent="0.2">
      <c r="B152" s="5" t="b">
        <v>0</v>
      </c>
      <c r="C152" s="16" t="s">
        <v>152</v>
      </c>
      <c r="E152" s="25" t="str">
        <f ca="1">IFERROR(FormatTimeSpan(NOW()-LOOKUP(2,1/(F152:ZZ152&lt;&gt;""),F152:ZZ152)),"")</f>
        <v>9小时33分56秒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</row>
    <row r="153" spans="1:9" x14ac:dyDescent="0.2">
      <c r="B153" s="5" t="b">
        <v>0</v>
      </c>
      <c r="C153" s="16" t="s">
        <v>153</v>
      </c>
      <c r="E153" s="25" t="str">
        <f ca="1">IFERROR(FormatTimeSpan(NOW()-LOOKUP(2,1/(F153:ZZ153&lt;&gt;""),F153:ZZ153)),"")</f>
        <v>9小时32分37秒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</row>
    <row r="154" spans="1:9" x14ac:dyDescent="0.2">
      <c r="B154" s="5" t="b">
        <v>0</v>
      </c>
      <c r="C154" s="16" t="s">
        <v>154</v>
      </c>
      <c r="E154" s="25" t="str">
        <f ca="1">IFERROR(FormatTimeSpan(NOW()-LOOKUP(2,1/(F154:ZZ154&lt;&gt;""),F154:ZZ154)),"")</f>
        <v>9小时32分4秒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</row>
    <row r="155" spans="1:9" x14ac:dyDescent="0.2">
      <c r="B155" s="5" t="b">
        <v>0</v>
      </c>
      <c r="C155" s="16" t="s">
        <v>219</v>
      </c>
      <c r="E155" s="25" t="str">
        <f ca="1">IFERROR(FormatTimeSpan(NOW()-LOOKUP(2,1/(F155:ZZ155&lt;&gt;""),F155:ZZ155)),"")</f>
        <v>1天21小时44分6秒</v>
      </c>
      <c r="F155" s="20">
        <v>45897.358842592592</v>
      </c>
      <c r="G155" s="20">
        <v>45897.892152777778</v>
      </c>
      <c r="H155" s="20">
        <v>45899.452037037037</v>
      </c>
    </row>
    <row r="156" spans="1:9" x14ac:dyDescent="0.2">
      <c r="B156" s="5" t="b">
        <v>0</v>
      </c>
      <c r="C156" s="16" t="s">
        <v>220</v>
      </c>
      <c r="E156" s="25" t="str">
        <f ca="1">IFERROR(FormatTimeSpan(NOW()-LOOKUP(2,1/(F156:ZZ156&lt;&gt;""),F156:ZZ156)),"")</f>
        <v>1天21小时42分38秒</v>
      </c>
      <c r="F156" s="20">
        <v>45897.360023148147</v>
      </c>
      <c r="G156" s="20">
        <v>45897.89539351852</v>
      </c>
      <c r="H156" s="20">
        <v>45899.453055555554</v>
      </c>
    </row>
    <row r="157" spans="1:9" x14ac:dyDescent="0.2">
      <c r="B157" s="5" t="b">
        <v>0</v>
      </c>
      <c r="C157" s="16" t="s">
        <v>155</v>
      </c>
      <c r="E157" s="25" t="str">
        <f ca="1">IFERROR(FormatTimeSpan(NOW()-LOOKUP(2,1/(F157:ZZ157&lt;&gt;""),F157:ZZ157)),"")</f>
        <v>1天21小时40分55秒</v>
      </c>
      <c r="F157" s="20">
        <v>45897.361539351848</v>
      </c>
      <c r="G157" s="20">
        <v>45897.912199074075</v>
      </c>
      <c r="H157" s="20">
        <v>45899.454247685186</v>
      </c>
    </row>
    <row r="158" spans="1:9" x14ac:dyDescent="0.2">
      <c r="B158" s="5" t="b">
        <v>0</v>
      </c>
      <c r="C158" s="16" t="s">
        <v>156</v>
      </c>
      <c r="E158" s="25" t="str">
        <f ca="1">IFERROR(FormatTimeSpan(NOW()-LOOKUP(2,1/(F158:ZZ158&lt;&gt;""),F158:ZZ158)),"")</f>
        <v>1天21小时37分6秒</v>
      </c>
      <c r="F158" s="20">
        <v>45897.363969907405</v>
      </c>
      <c r="G158" s="20">
        <v>45897.980520833335</v>
      </c>
      <c r="H158" s="20">
        <v>45899.45689814815</v>
      </c>
    </row>
    <row r="159" spans="1:9" x14ac:dyDescent="0.2">
      <c r="B159" s="5" t="b">
        <v>0</v>
      </c>
      <c r="C159" s="16" t="s">
        <v>157</v>
      </c>
      <c r="E159" s="25" t="str">
        <f ca="1">IFERROR(FormatTimeSpan(NOW()-LOOKUP(2,1/(F159:ZZ159&lt;&gt;""),F159:ZZ159)),"")</f>
        <v>1天21小时36分5秒</v>
      </c>
      <c r="F159" s="20">
        <v>45897.365960648145</v>
      </c>
      <c r="G159" s="20">
        <v>45897.987430555557</v>
      </c>
      <c r="H159" s="20">
        <v>45899.457604166666</v>
      </c>
    </row>
    <row r="160" spans="1:9" x14ac:dyDescent="0.2">
      <c r="B160" s="5" t="b">
        <v>0</v>
      </c>
      <c r="C160" s="16" t="s">
        <v>158</v>
      </c>
      <c r="E160" s="25" t="str">
        <f ca="1">IFERROR(FormatTimeSpan(NOW()-LOOKUP(2,1/(F160:ZZ160&lt;&gt;""),F160:ZZ160)),"")</f>
        <v>1天21小时33分25秒</v>
      </c>
      <c r="F160" s="20">
        <v>45897.367592592593</v>
      </c>
      <c r="G160" s="20">
        <v>45897.991608796299</v>
      </c>
      <c r="H160" s="20">
        <v>45899.459456018521</v>
      </c>
    </row>
    <row r="161" spans="2:8" x14ac:dyDescent="0.2">
      <c r="B161" s="5" t="b">
        <v>0</v>
      </c>
      <c r="C161" s="16" t="s">
        <v>159</v>
      </c>
      <c r="E161" s="25" t="str">
        <f ca="1">IFERROR(FormatTimeSpan(NOW()-LOOKUP(2,1/(F161:ZZ161&lt;&gt;""),F161:ZZ161)),"")</f>
        <v>1天21小时30分28秒</v>
      </c>
      <c r="F161" s="20">
        <v>45897.369976851849</v>
      </c>
      <c r="G161" s="20">
        <v>45897.997511574074</v>
      </c>
      <c r="H161" s="20">
        <v>45899.461504629631</v>
      </c>
    </row>
    <row r="162" spans="2:8" x14ac:dyDescent="0.2">
      <c r="B162" s="5" t="b">
        <v>0</v>
      </c>
      <c r="C162" s="16" t="s">
        <v>160</v>
      </c>
      <c r="E162" s="25" t="str">
        <f ca="1">IFERROR(FormatTimeSpan(NOW()-LOOKUP(2,1/(F162:ZZ162&lt;&gt;""),F162:ZZ162)),"")</f>
        <v>1天21小时28分37秒</v>
      </c>
      <c r="F162" s="20">
        <v>45897.371504629627</v>
      </c>
      <c r="G162" s="20">
        <v>45897.998749999999</v>
      </c>
      <c r="H162" s="20">
        <v>45899.462789351855</v>
      </c>
    </row>
    <row r="163" spans="2:8" x14ac:dyDescent="0.2">
      <c r="B163" s="5" t="b">
        <v>0</v>
      </c>
      <c r="C163" s="16" t="s">
        <v>161</v>
      </c>
      <c r="E163" s="25" t="str">
        <f ca="1">IFERROR(FormatTimeSpan(NOW()-LOOKUP(2,1/(F163:ZZ163&lt;&gt;""),F163:ZZ163)),"")</f>
        <v>9小时30分32秒</v>
      </c>
      <c r="F163" s="20">
        <v>45898.678379629629</v>
      </c>
      <c r="G163" s="20">
        <v>45899.463460648149</v>
      </c>
      <c r="H163" s="20">
        <v>45900.961458333331</v>
      </c>
    </row>
    <row r="164" spans="2:8" x14ac:dyDescent="0.2">
      <c r="B164" s="5" t="b">
        <v>0</v>
      </c>
      <c r="C164" s="16" t="s">
        <v>162</v>
      </c>
      <c r="E164" s="25" t="str">
        <f ca="1">IFERROR(FormatTimeSpan(NOW()-LOOKUP(2,1/(F164:ZZ164&lt;&gt;""),F164:ZZ164)),"")</f>
        <v>9小时28分57秒</v>
      </c>
      <c r="F164" s="20">
        <v>45898.679131944446</v>
      </c>
      <c r="G164" s="20">
        <v>45899.464270833334</v>
      </c>
      <c r="H164" s="20">
        <v>45900.962557870371</v>
      </c>
    </row>
    <row r="165" spans="2:8" x14ac:dyDescent="0.2">
      <c r="B165" s="5" t="b">
        <v>0</v>
      </c>
      <c r="C165" s="16" t="s">
        <v>163</v>
      </c>
      <c r="E165" s="25" t="str">
        <f ca="1">IFERROR(FormatTimeSpan(NOW()-LOOKUP(2,1/(F165:ZZ165&lt;&gt;""),F165:ZZ165)),"")</f>
        <v>9小时26分4秒</v>
      </c>
      <c r="F165" s="20">
        <v>45898.681469907409</v>
      </c>
      <c r="G165" s="20">
        <v>45899.465740740743</v>
      </c>
      <c r="H165" s="20">
        <v>45900.964560185188</v>
      </c>
    </row>
    <row r="166" spans="2:8" x14ac:dyDescent="0.2">
      <c r="B166" s="5" t="b">
        <v>0</v>
      </c>
      <c r="C166" s="16" t="s">
        <v>164</v>
      </c>
      <c r="E166" s="25" t="str">
        <f ca="1">IFERROR(FormatTimeSpan(NOW()-LOOKUP(2,1/(F166:ZZ166&lt;&gt;""),F166:ZZ166)),"")</f>
        <v>9小时24分7秒</v>
      </c>
      <c r="F166" s="20">
        <v>45898.683055555557</v>
      </c>
      <c r="G166" s="20">
        <v>45899.466932870368</v>
      </c>
      <c r="H166" s="20">
        <v>45900.965914351851</v>
      </c>
    </row>
    <row r="167" spans="2:8" x14ac:dyDescent="0.2">
      <c r="B167" s="5" t="b">
        <v>0</v>
      </c>
      <c r="C167" s="16" t="s">
        <v>165</v>
      </c>
      <c r="E167" s="25" t="str">
        <f ca="1">IFERROR(FormatTimeSpan(NOW()-LOOKUP(2,1/(F167:ZZ167&lt;&gt;""),F167:ZZ167)),"")</f>
        <v>9小时16分56秒</v>
      </c>
      <c r="F167" s="20">
        <v>45898.688958333332</v>
      </c>
      <c r="G167" s="20">
        <v>45899.471226851849</v>
      </c>
      <c r="H167" s="20">
        <v>45900.970902777779</v>
      </c>
    </row>
    <row r="168" spans="2:8" x14ac:dyDescent="0.2">
      <c r="B168" s="5" t="b">
        <v>0</v>
      </c>
      <c r="C168" s="16" t="s">
        <v>166</v>
      </c>
      <c r="E168" s="25" t="str">
        <f ca="1">IFERROR(FormatTimeSpan(NOW()-LOOKUP(2,1/(F168:ZZ168&lt;&gt;""),F168:ZZ168)),"")</f>
        <v>9小时12分27秒</v>
      </c>
      <c r="F168" s="20">
        <v>45898.754548611112</v>
      </c>
      <c r="G168" s="20">
        <v>45899.478101851855</v>
      </c>
      <c r="H168" s="20">
        <v>45900.974016203705</v>
      </c>
    </row>
    <row r="169" spans="2:8" x14ac:dyDescent="0.2">
      <c r="B169" s="5" t="b">
        <v>0</v>
      </c>
      <c r="C169" s="16" t="s">
        <v>167</v>
      </c>
      <c r="E169" s="25" t="str">
        <f ca="1">IFERROR(FormatTimeSpan(NOW()-LOOKUP(2,1/(F169:ZZ169&lt;&gt;""),F169:ZZ169)),"")</f>
        <v>9小时10分37秒</v>
      </c>
      <c r="F169" s="20">
        <v>45898.755520833336</v>
      </c>
      <c r="G169" s="20">
        <v>45899.482453703706</v>
      </c>
      <c r="H169" s="20">
        <v>45900.975289351853</v>
      </c>
    </row>
    <row r="170" spans="2:8" x14ac:dyDescent="0.2">
      <c r="B170" s="5" t="b">
        <v>0</v>
      </c>
      <c r="C170" s="16" t="s">
        <v>169</v>
      </c>
      <c r="E170" s="25" t="str">
        <f ca="1">IFERROR(FormatTimeSpan(NOW()-LOOKUP(2,1/(F170:ZZ170&lt;&gt;""),F170:ZZ170)),"")</f>
        <v>9小时6分44秒</v>
      </c>
      <c r="F170" s="20">
        <v>45898.757581018515</v>
      </c>
      <c r="G170" s="20">
        <v>45899.484872685185</v>
      </c>
      <c r="H170" s="20">
        <v>45900.977986111109</v>
      </c>
    </row>
    <row r="171" spans="2:8" x14ac:dyDescent="0.2">
      <c r="B171" s="5" t="b">
        <v>0</v>
      </c>
      <c r="C171" s="16" t="s">
        <v>168</v>
      </c>
      <c r="E171" s="25" t="str">
        <f ca="1">IFERROR(FormatTimeSpan(NOW()-LOOKUP(2,1/(F171:ZZ171&lt;&gt;""),F171:ZZ171)),"")</f>
        <v>8小时59分46秒</v>
      </c>
      <c r="F171" s="20">
        <v>45898.76158564815</v>
      </c>
      <c r="G171" s="20">
        <v>45899.488761574074</v>
      </c>
      <c r="H171" s="20">
        <v>45900.982824074075</v>
      </c>
    </row>
    <row r="172" spans="2:8" x14ac:dyDescent="0.2">
      <c r="B172" s="5" t="b">
        <v>0</v>
      </c>
      <c r="C172" s="16" t="s">
        <v>170</v>
      </c>
      <c r="E172" s="27" t="str">
        <f ca="1">IFERROR(FormatTimeSpan(NOW()-LOOKUP(2,1/(F172:ZZ172&lt;&gt;""),F172:ZZ172)),"")</f>
        <v/>
      </c>
    </row>
    <row r="173" spans="2:8" x14ac:dyDescent="0.2">
      <c r="B173" s="5" t="b">
        <v>0</v>
      </c>
      <c r="C173" s="16" t="s">
        <v>223</v>
      </c>
      <c r="E173" s="27" t="str">
        <f ca="1">IFERROR(FormatTimeSpan(NOW()-LOOKUP(2,1/(F173:ZZ173&lt;&gt;""),F173:ZZ173)),"")</f>
        <v/>
      </c>
    </row>
    <row r="174" spans="2:8" x14ac:dyDescent="0.2">
      <c r="B174" s="5" t="b">
        <v>0</v>
      </c>
      <c r="C174" s="16" t="s">
        <v>224</v>
      </c>
      <c r="E174" s="27" t="str">
        <f ca="1">IFERROR(FormatTimeSpan(NOW()-LOOKUP(2,1/(F174:ZZ174&lt;&gt;""),F174:ZZ174)),"")</f>
        <v/>
      </c>
    </row>
    <row r="175" spans="2:8" x14ac:dyDescent="0.2">
      <c r="B175" s="5" t="b">
        <v>0</v>
      </c>
      <c r="C175" s="16" t="s">
        <v>171</v>
      </c>
      <c r="E175" s="27" t="str">
        <f ca="1">IFERROR(FormatTimeSpan(NOW()-LOOKUP(2,1/(F175:ZZ175&lt;&gt;""),F175:ZZ175)),"")</f>
        <v/>
      </c>
    </row>
    <row r="176" spans="2:8" x14ac:dyDescent="0.2">
      <c r="B176" s="5" t="b">
        <v>0</v>
      </c>
      <c r="C176" s="16" t="s">
        <v>172</v>
      </c>
      <c r="E176" s="27" t="str">
        <f ca="1">IFERROR(FormatTimeSpan(NOW()-LOOKUP(2,1/(F176:ZZ176&lt;&gt;""),F176:ZZ176)),"")</f>
        <v/>
      </c>
    </row>
    <row r="177" spans="2:5" x14ac:dyDescent="0.2">
      <c r="B177" s="5" t="b">
        <v>0</v>
      </c>
      <c r="C177" s="16" t="s">
        <v>173</v>
      </c>
      <c r="E177" s="27" t="str">
        <f ca="1">IFERROR(FormatTimeSpan(NOW()-LOOKUP(2,1/(F177:ZZ177&lt;&gt;""),F177:ZZ177)),"")</f>
        <v/>
      </c>
    </row>
    <row r="178" spans="2:5" x14ac:dyDescent="0.2">
      <c r="B178" s="5" t="b">
        <v>0</v>
      </c>
      <c r="C178" s="16" t="s">
        <v>174</v>
      </c>
      <c r="E178" s="27" t="str">
        <f ca="1">IFERROR(FormatTimeSpan(NOW()-LOOKUP(2,1/(F178:ZZ178&lt;&gt;""),F178:ZZ178)),"")</f>
        <v/>
      </c>
    </row>
    <row r="179" spans="2:5" x14ac:dyDescent="0.2">
      <c r="B179" s="5" t="b">
        <v>0</v>
      </c>
      <c r="C179" s="16" t="s">
        <v>175</v>
      </c>
      <c r="E179" s="27" t="str">
        <f ca="1">IFERROR(FormatTimeSpan(NOW()-LOOKUP(2,1/(F179:ZZ179&lt;&gt;""),F179:ZZ179)),"")</f>
        <v/>
      </c>
    </row>
    <row r="180" spans="2:5" x14ac:dyDescent="0.2">
      <c r="B180" s="5" t="b">
        <v>0</v>
      </c>
      <c r="C180" s="16" t="s">
        <v>176</v>
      </c>
      <c r="E180" s="27" t="str">
        <f ca="1">IFERROR(FormatTimeSpan(NOW()-LOOKUP(2,1/(F180:ZZ180&lt;&gt;""),F180:ZZ180)),"")</f>
        <v/>
      </c>
    </row>
    <row r="181" spans="2:5" x14ac:dyDescent="0.2">
      <c r="B181" s="5" t="b">
        <v>0</v>
      </c>
      <c r="C181" s="16" t="s">
        <v>177</v>
      </c>
      <c r="E181" s="27" t="str">
        <f ca="1">IFERROR(FormatTimeSpan(NOW()-LOOKUP(2,1/(F181:ZZ181&lt;&gt;""),F181:ZZ181)),"")</f>
        <v/>
      </c>
    </row>
    <row r="182" spans="2:5" x14ac:dyDescent="0.2">
      <c r="B182" s="5" t="b">
        <v>0</v>
      </c>
      <c r="C182" s="16" t="s">
        <v>178</v>
      </c>
      <c r="E182" s="27" t="str">
        <f ca="1">IFERROR(FormatTimeSpan(NOW()-LOOKUP(2,1/(F182:ZZ182&lt;&gt;""),F182:ZZ182)),"")</f>
        <v/>
      </c>
    </row>
    <row r="183" spans="2:5" x14ac:dyDescent="0.2">
      <c r="B183" s="5" t="b">
        <v>0</v>
      </c>
      <c r="C183" s="16" t="s">
        <v>179</v>
      </c>
      <c r="E183" s="27" t="str">
        <f ca="1">IFERROR(FormatTimeSpan(NOW()-LOOKUP(2,1/(F183:ZZ183&lt;&gt;""),F183:ZZ183)),"")</f>
        <v/>
      </c>
    </row>
    <row r="184" spans="2:5" x14ac:dyDescent="0.2">
      <c r="B184" s="5" t="b">
        <v>0</v>
      </c>
      <c r="C184" s="16" t="s">
        <v>180</v>
      </c>
      <c r="E184" s="27" t="str">
        <f ca="1">IFERROR(FormatTimeSpan(NOW()-LOOKUP(2,1/(F184:ZZ184&lt;&gt;""),F184:ZZ184)),"")</f>
        <v/>
      </c>
    </row>
    <row r="185" spans="2:5" x14ac:dyDescent="0.2">
      <c r="B185" s="5" t="b">
        <v>0</v>
      </c>
      <c r="C185" s="16" t="s">
        <v>181</v>
      </c>
      <c r="E185" s="27" t="str">
        <f ca="1">IFERROR(FormatTimeSpan(NOW()-LOOKUP(2,1/(F185:ZZ185&lt;&gt;""),F185:ZZ185)),"")</f>
        <v/>
      </c>
    </row>
    <row r="186" spans="2:5" x14ac:dyDescent="0.2">
      <c r="B186" s="5" t="b">
        <v>0</v>
      </c>
      <c r="C186" s="16" t="s">
        <v>182</v>
      </c>
      <c r="E186" s="27" t="str">
        <f ca="1">IFERROR(FormatTimeSpan(NOW()-LOOKUP(2,1/(F186:ZZ186&lt;&gt;""),F186:ZZ186)),"")</f>
        <v/>
      </c>
    </row>
    <row r="187" spans="2:5" x14ac:dyDescent="0.2">
      <c r="B187" s="5" t="b">
        <v>0</v>
      </c>
      <c r="C187" s="16" t="s">
        <v>183</v>
      </c>
      <c r="E187" s="27" t="str">
        <f ca="1">IFERROR(FormatTimeSpan(NOW()-LOOKUP(2,1/(F187:ZZ187&lt;&gt;""),F187:ZZ187)),"")</f>
        <v/>
      </c>
    </row>
    <row r="188" spans="2:5" x14ac:dyDescent="0.2">
      <c r="B188" s="5" t="b">
        <v>0</v>
      </c>
      <c r="C188" s="16" t="s">
        <v>184</v>
      </c>
      <c r="E188" s="27" t="str">
        <f ca="1">IFERROR(FormatTimeSpan(NOW()-LOOKUP(2,1/(F188:ZZ188&lt;&gt;""),F188:ZZ188)),"")</f>
        <v/>
      </c>
    </row>
    <row r="189" spans="2:5" x14ac:dyDescent="0.2">
      <c r="B189" s="5" t="b">
        <v>0</v>
      </c>
      <c r="C189" s="16" t="s">
        <v>187</v>
      </c>
      <c r="E189" s="27" t="str">
        <f ca="1">IFERROR(FormatTimeSpan(NOW()-LOOKUP(2,1/(F189:ZZ189&lt;&gt;""),F189:ZZ189)),"")</f>
        <v/>
      </c>
    </row>
    <row r="190" spans="2:5" x14ac:dyDescent="0.2">
      <c r="B190" s="5" t="b">
        <v>0</v>
      </c>
      <c r="C190" s="16" t="s">
        <v>188</v>
      </c>
      <c r="E190" s="27" t="str">
        <f ca="1">IFERROR(FormatTimeSpan(NOW()-LOOKUP(2,1/(F190:ZZ190&lt;&gt;""),F190:ZZ190)),"")</f>
        <v/>
      </c>
    </row>
    <row r="191" spans="2:5" x14ac:dyDescent="0.2">
      <c r="B191" s="5" t="b">
        <v>0</v>
      </c>
      <c r="C191" s="16" t="s">
        <v>189</v>
      </c>
      <c r="E191" s="27" t="str">
        <f ca="1">IFERROR(FormatTimeSpan(NOW()-LOOKUP(2,1/(F191:ZZ191&lt;&gt;""),F191:ZZ191)),"")</f>
        <v/>
      </c>
    </row>
    <row r="192" spans="2:5" x14ac:dyDescent="0.2">
      <c r="B192" s="5" t="b">
        <v>0</v>
      </c>
      <c r="C192" s="16" t="s">
        <v>190</v>
      </c>
      <c r="E192" s="27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191</v>
      </c>
      <c r="E193" s="27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192</v>
      </c>
      <c r="E194" s="27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193</v>
      </c>
      <c r="E195" s="27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194</v>
      </c>
      <c r="E196" s="27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185</v>
      </c>
      <c r="E197" s="27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186</v>
      </c>
      <c r="E198" s="27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195</v>
      </c>
      <c r="E199" s="27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196</v>
      </c>
      <c r="E200" s="27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197</v>
      </c>
      <c r="E201" s="27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198</v>
      </c>
      <c r="E202" s="27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199</v>
      </c>
      <c r="E203" s="27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200</v>
      </c>
      <c r="E204" s="27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201</v>
      </c>
      <c r="E205" s="27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202</v>
      </c>
      <c r="E206" s="27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203</v>
      </c>
      <c r="E207" s="27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204</v>
      </c>
      <c r="E208" s="27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205</v>
      </c>
      <c r="E209" s="27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206</v>
      </c>
      <c r="E210" s="27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207</v>
      </c>
      <c r="E211" s="27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208</v>
      </c>
      <c r="E212" s="27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209</v>
      </c>
      <c r="E213" s="27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210</v>
      </c>
      <c r="E214" s="27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211</v>
      </c>
      <c r="E215" s="27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212</v>
      </c>
      <c r="E216" s="27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213</v>
      </c>
      <c r="E217" s="27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214</v>
      </c>
      <c r="E218" s="27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215</v>
      </c>
      <c r="E219" s="27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216</v>
      </c>
      <c r="E220" s="27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217</v>
      </c>
      <c r="E221" s="27" t="str">
        <f ca="1">IFERROR(FormatTimeSpan(NOW()-LOOKUP(2,1/(F221:ZZ221&lt;&gt;""),F221:ZZ221)),"")</f>
        <v/>
      </c>
    </row>
    <row r="222" spans="2:5" x14ac:dyDescent="0.2">
      <c r="B222" s="5" t="b">
        <v>0</v>
      </c>
      <c r="E222" s="27" t="str">
        <f ca="1">IFERROR(FormatTimeSpan(NOW()-LOOKUP(2,1/(F222:ZZ222&lt;&gt;""),F222:ZZ222)),"")</f>
        <v/>
      </c>
    </row>
    <row r="223" spans="2:5" x14ac:dyDescent="0.2">
      <c r="B223" s="5" t="b">
        <v>0</v>
      </c>
      <c r="E223" s="27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  <c r="F250" s="20"/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</row>
    <row r="252" spans="2:6" x14ac:dyDescent="0.2">
      <c r="E252" s="28"/>
    </row>
    <row r="253" spans="2:6" x14ac:dyDescent="0.2">
      <c r="E253" s="28"/>
    </row>
    <row r="254" spans="2:6" x14ac:dyDescent="0.2">
      <c r="E254" s="28"/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1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2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3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4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5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6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7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8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9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0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1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2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3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4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5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6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7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8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9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0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1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2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3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4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5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6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7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8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9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0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1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2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3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4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5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6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7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8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9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0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1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2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3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4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5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6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7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8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9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0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1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2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3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4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5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6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7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8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9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0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1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2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3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7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7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2025-09-01T00:35:03Z</dcterms:modified>
</cp:coreProperties>
</file>