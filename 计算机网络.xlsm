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963F802A-A410-4CD1-BB38-ADD7492FC72A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0" i="2" l="1"/>
  <c r="E45" i="2"/>
  <c r="E312" i="2"/>
  <c r="E277" i="2"/>
  <c r="E60" i="2"/>
  <c r="E216" i="2"/>
  <c r="E373" i="2"/>
  <c r="E119" i="2"/>
  <c r="E108" i="2"/>
  <c r="E215" i="2"/>
  <c r="E89" i="2"/>
  <c r="E258" i="2"/>
  <c r="E212" i="2"/>
  <c r="E145" i="2"/>
  <c r="E144" i="2"/>
  <c r="E214" i="2"/>
  <c r="E348" i="2"/>
  <c r="E57" i="2"/>
  <c r="E228" i="2"/>
  <c r="E318" i="2"/>
  <c r="E125" i="2"/>
  <c r="E91" i="2"/>
  <c r="E310" i="2"/>
  <c r="E157" i="2"/>
  <c r="E207" i="2"/>
  <c r="E378" i="2"/>
  <c r="E41" i="2"/>
  <c r="E151" i="2"/>
  <c r="E120" i="2"/>
  <c r="E324" i="2"/>
  <c r="E356" i="2"/>
  <c r="E137" i="2"/>
  <c r="E156" i="2"/>
  <c r="E197" i="2"/>
  <c r="E174" i="2"/>
  <c r="E404" i="2"/>
  <c r="E329" i="2"/>
  <c r="E400" i="2"/>
  <c r="E105" i="2"/>
  <c r="E241" i="2"/>
  <c r="E132" i="2"/>
  <c r="E26" i="2"/>
  <c r="E175" i="2"/>
  <c r="E247" i="2"/>
  <c r="E392" i="2"/>
  <c r="E166" i="2"/>
  <c r="E10" i="2" a="1"/>
  <c r="E50" i="2"/>
  <c r="E224" i="2"/>
  <c r="E112" i="2"/>
  <c r="E360" i="2"/>
  <c r="E6" i="2"/>
  <c r="E96" i="2"/>
  <c r="E252" i="2"/>
  <c r="E115" i="2"/>
  <c r="E190" i="2"/>
  <c r="E249" i="2"/>
  <c r="E14" i="2"/>
  <c r="E74" i="2"/>
  <c r="E296" i="2"/>
  <c r="E186" i="2"/>
  <c r="E47" i="2"/>
  <c r="E322" i="2"/>
  <c r="E395" i="2"/>
  <c r="E248" i="2"/>
  <c r="E187" i="2"/>
  <c r="E223" i="2"/>
  <c r="E188" i="2"/>
  <c r="E37" i="2"/>
  <c r="E257" i="2"/>
  <c r="E95" i="2"/>
  <c r="E219" i="2"/>
  <c r="E138" i="2"/>
  <c r="E319" i="2"/>
  <c r="E206" i="2"/>
  <c r="E7" i="2" a="1"/>
  <c r="E109" i="2"/>
  <c r="E34" i="2"/>
  <c r="E311" i="2"/>
  <c r="E240" i="2"/>
  <c r="E133" i="2"/>
  <c r="E85" i="2"/>
  <c r="E375" i="2"/>
  <c r="E267" i="2"/>
  <c r="E55" i="2"/>
  <c r="E52" i="2"/>
  <c r="E161" i="2"/>
  <c r="E98" i="2"/>
  <c r="E357" i="2"/>
  <c r="E239" i="2"/>
  <c r="E391" i="2"/>
  <c r="E208" i="2"/>
  <c r="E350" i="2"/>
  <c r="E386" i="2"/>
  <c r="E79" i="2"/>
  <c r="E81" i="2"/>
  <c r="E292" i="2"/>
  <c r="E217" i="2"/>
  <c r="E290" i="2"/>
  <c r="E313" i="2"/>
  <c r="E308" i="2"/>
  <c r="E342" i="2"/>
  <c r="E354" i="2"/>
  <c r="E176" i="2"/>
  <c r="E73" i="2"/>
  <c r="E49" i="2"/>
  <c r="E271" i="2"/>
  <c r="E121" i="2"/>
  <c r="E303" i="2"/>
  <c r="E159" i="2"/>
  <c r="E211" i="2"/>
  <c r="E327" i="2"/>
  <c r="E87" i="2"/>
  <c r="E221" i="2"/>
  <c r="E280" i="2"/>
  <c r="E80" i="2"/>
  <c r="E23" i="2"/>
  <c r="E30" i="2"/>
  <c r="E253" i="2"/>
  <c r="E264" i="2"/>
  <c r="E261" i="2"/>
  <c r="E61" i="2"/>
  <c r="E192" i="2"/>
  <c r="E260" i="2"/>
  <c r="E366" i="2"/>
  <c r="E195" i="2"/>
  <c r="E255" i="2"/>
  <c r="E131" i="2"/>
  <c r="E124" i="2"/>
  <c r="E163" i="2"/>
  <c r="E334" i="2"/>
  <c r="E314" i="2"/>
  <c r="E278" i="2"/>
  <c r="E123" i="2"/>
  <c r="E165" i="2"/>
  <c r="E90" i="2"/>
  <c r="E78" i="2"/>
  <c r="E362" i="2"/>
  <c r="E130" i="2"/>
  <c r="E370" i="2"/>
  <c r="E9" i="2"/>
  <c r="E146" i="2"/>
  <c r="E306" i="2"/>
  <c r="E225" i="2"/>
  <c r="E19" i="2"/>
  <c r="E379" i="2"/>
  <c r="E371" i="2"/>
  <c r="E323" i="2"/>
  <c r="E341" i="2"/>
  <c r="E43" i="2"/>
  <c r="E363" i="2"/>
  <c r="E101" i="2"/>
  <c r="E297" i="2"/>
  <c r="E4" i="2" a="1"/>
  <c r="E210" i="2"/>
  <c r="E88" i="2"/>
  <c r="E28" i="2"/>
  <c r="E245" i="2"/>
  <c r="E358" i="2"/>
  <c r="E35" i="2"/>
  <c r="E83" i="2"/>
  <c r="E110" i="2"/>
  <c r="E75" i="2"/>
  <c r="E116" i="2"/>
  <c r="E171" i="2"/>
  <c r="E351" i="2"/>
  <c r="E198" i="2"/>
  <c r="E315" i="2"/>
  <c r="E158" i="2"/>
  <c r="E48" i="2"/>
  <c r="E97" i="2"/>
  <c r="E160" i="2"/>
  <c r="E242" i="2"/>
  <c r="E336" i="2"/>
  <c r="E232" i="2"/>
  <c r="E272" i="2"/>
  <c r="E339" i="2"/>
  <c r="E382" i="2"/>
  <c r="E250" i="2"/>
  <c r="E238" i="2"/>
  <c r="E103" i="2"/>
  <c r="E69" i="2"/>
  <c r="E152" i="2"/>
  <c r="E102" i="2"/>
  <c r="E8" i="2" a="1"/>
  <c r="E162" i="2"/>
  <c r="E51" i="2"/>
  <c r="E191" i="2"/>
  <c r="E226" i="2"/>
  <c r="E307" i="2"/>
  <c r="E275" i="2"/>
  <c r="E298" i="2"/>
  <c r="E200" i="2"/>
  <c r="E104" i="2"/>
  <c r="E189" i="2"/>
  <c r="E114" i="2"/>
  <c r="E294" i="2"/>
  <c r="E274" i="2"/>
  <c r="E194" i="2"/>
  <c r="E266" i="2"/>
  <c r="E365" i="2"/>
  <c r="E66" i="2"/>
  <c r="E82" i="2"/>
  <c r="E246" i="2"/>
  <c r="E199" i="2"/>
  <c r="E279" i="2"/>
  <c r="E150" i="2"/>
  <c r="E316" i="2"/>
  <c r="E59" i="2"/>
  <c r="E84" i="2"/>
  <c r="E330" i="2"/>
  <c r="E387" i="2"/>
  <c r="E283" i="2"/>
  <c r="E321" i="2"/>
  <c r="E184" i="2"/>
  <c r="E170" i="2"/>
  <c r="E155" i="2"/>
  <c r="E340" i="2"/>
  <c r="E234" i="2"/>
  <c r="E177" i="2"/>
  <c r="E304" i="2"/>
  <c r="E295" i="2"/>
  <c r="E396" i="2"/>
  <c r="E367" i="2"/>
  <c r="E369" i="2"/>
  <c r="E338" i="2"/>
  <c r="E394" i="2"/>
  <c r="E11" i="2" a="1"/>
  <c r="E359" i="2"/>
  <c r="E180" i="2"/>
  <c r="E372" i="2"/>
  <c r="E44" i="2"/>
  <c r="E291" i="2"/>
  <c r="E99" i="2"/>
  <c r="E135" i="2"/>
  <c r="E393" i="2"/>
  <c r="E385" i="2"/>
  <c r="E20" i="2"/>
  <c r="E353" i="2"/>
  <c r="E56" i="2"/>
  <c r="E230" i="2"/>
  <c r="E268" i="2"/>
  <c r="E31" i="2"/>
  <c r="E18" i="2"/>
  <c r="E106" i="2"/>
  <c r="E153" i="2"/>
  <c r="E299" i="2"/>
  <c r="E388" i="2"/>
  <c r="E205" i="2"/>
  <c r="E118" i="2"/>
  <c r="E201" i="2"/>
  <c r="E389" i="2"/>
  <c r="E126" i="2"/>
  <c r="E269" i="2"/>
  <c r="E70" i="2"/>
  <c r="E179" i="2"/>
  <c r="E62" i="2"/>
  <c r="E229" i="2"/>
  <c r="E287" i="2"/>
  <c r="E21" i="2"/>
  <c r="E235" i="2"/>
  <c r="E13" i="2" a="1"/>
  <c r="E333" i="2"/>
  <c r="E227" i="2"/>
  <c r="E270" i="2"/>
  <c r="E178" i="2"/>
  <c r="E92" i="2"/>
  <c r="E265" i="2"/>
  <c r="E203" i="2"/>
  <c r="E262" i="2"/>
  <c r="E349" i="2"/>
  <c r="E42" i="2"/>
  <c r="E128" i="2"/>
  <c r="E368" i="2"/>
  <c r="E140" i="2"/>
  <c r="E53" i="2"/>
  <c r="E309" i="2"/>
  <c r="E15" i="2"/>
  <c r="E76" i="2"/>
  <c r="E148" i="2"/>
  <c r="E256" i="2"/>
  <c r="E337" i="2"/>
  <c r="E12" i="2" a="1"/>
  <c r="E65" i="2"/>
  <c r="E77" i="2"/>
  <c r="E273" i="2"/>
  <c r="E381" i="2"/>
  <c r="E147" i="2"/>
  <c r="E259" i="2"/>
  <c r="E63" i="2"/>
  <c r="E71" i="2"/>
  <c r="E251" i="2"/>
  <c r="E383" i="2"/>
  <c r="E17" i="2"/>
  <c r="E5" i="2" a="1"/>
  <c r="E293" i="2"/>
  <c r="E317" i="2"/>
  <c r="E164" i="2"/>
  <c r="E185" i="2"/>
  <c r="E243" i="2"/>
  <c r="E346" i="2"/>
  <c r="E332" i="2"/>
  <c r="E263" i="2"/>
  <c r="E328" i="2"/>
  <c r="E345" i="2"/>
  <c r="E39" i="2"/>
  <c r="E154" i="2"/>
  <c r="E113" i="2"/>
  <c r="E281" i="2"/>
  <c r="E143" i="2"/>
  <c r="E300" i="2"/>
  <c r="E58" i="2"/>
  <c r="E244" i="2"/>
  <c r="E390" i="2"/>
  <c r="E107" i="2"/>
  <c r="E331" i="2"/>
  <c r="E72" i="2"/>
  <c r="E117" i="2"/>
  <c r="E220" i="2"/>
  <c r="E173" i="2"/>
  <c r="E134" i="2"/>
  <c r="E288" i="2"/>
  <c r="E233" i="2"/>
  <c r="E347" i="2"/>
  <c r="E376" i="2"/>
  <c r="E377" i="2"/>
  <c r="E384" i="2"/>
  <c r="E289" i="2"/>
  <c r="E86" i="2"/>
  <c r="E286" i="2"/>
  <c r="E343" i="2"/>
  <c r="E209" i="2"/>
  <c r="E374" i="2"/>
  <c r="E218" i="2"/>
  <c r="E285" i="2"/>
  <c r="E29" i="2"/>
  <c r="E254" i="2"/>
  <c r="E168" i="2"/>
  <c r="E231" i="2"/>
  <c r="E139" i="2"/>
  <c r="E398" i="2"/>
  <c r="E401" i="2"/>
  <c r="E222" i="2"/>
  <c r="E193" i="2"/>
  <c r="E202" i="2"/>
  <c r="E93" i="2"/>
  <c r="E282" i="2"/>
  <c r="E169" i="2"/>
  <c r="E40" i="2"/>
  <c r="E302" i="2"/>
  <c r="E326" i="2"/>
  <c r="E403" i="2"/>
  <c r="E397" i="2"/>
  <c r="E22" i="2"/>
  <c r="E36" i="2"/>
  <c r="E344" i="2"/>
  <c r="E54" i="2"/>
  <c r="E149" i="2"/>
  <c r="E182" i="2"/>
  <c r="E46" i="2"/>
  <c r="E402" i="2"/>
  <c r="E237" i="2"/>
  <c r="E67" i="2"/>
  <c r="E32" i="2"/>
  <c r="E405" i="2"/>
  <c r="E68" i="2"/>
  <c r="E361" i="2"/>
  <c r="E25" i="2"/>
  <c r="E16" i="2" a="1"/>
  <c r="E399" i="2"/>
  <c r="E305" i="2"/>
  <c r="E325" i="2"/>
  <c r="E276" i="2"/>
  <c r="E196" i="2"/>
  <c r="E27" i="2"/>
  <c r="E320" i="2"/>
  <c r="E141" i="2"/>
  <c r="E183" i="2"/>
  <c r="E213" i="2"/>
  <c r="E111" i="2"/>
  <c r="E129" i="2"/>
  <c r="E364" i="2"/>
  <c r="E284" i="2"/>
  <c r="E142" i="2"/>
  <c r="E38" i="2"/>
  <c r="E94" i="2"/>
  <c r="E172" i="2"/>
  <c r="E380" i="2"/>
  <c r="E204" i="2"/>
  <c r="E167" i="2"/>
  <c r="E301" i="2"/>
  <c r="E355" i="2"/>
  <c r="E33" i="2"/>
  <c r="E64" i="2"/>
  <c r="E352" i="2"/>
  <c r="E181" i="2"/>
  <c r="E236" i="2"/>
  <c r="E127" i="2"/>
  <c r="E24" i="2"/>
  <c r="E136" i="2"/>
  <c r="E335" i="2"/>
  <c r="E122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<sst xmlns="http://schemas.openxmlformats.org/spreadsheetml/2006/main" count="402" uniqueCount="402">
  <si>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</si>
  <si>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</si>
  <si>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</si>
  <si>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</si>
  <si>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</si>
  <si>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</si>
  <si>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</si>
  <si>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</si>
  <si>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</si>
  <si>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</si>
  <si>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</si>
  <si>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</si>
  <si>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</si>
  <si>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</si>
  <si>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</si>
  <si>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</si>
  <si>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</si>
  <si>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</si>
  <si>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</si>
  <si>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</si>
  <si>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</si>
  <si>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</si>
  <si>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</si>
  <si>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</si>
  <si>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</si>
  <si>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</si>
  <si>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</si>
  <si>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</si>
  <si>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</si>
  <si>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</si>
  <si>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</si>
  <si>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</si>
  <si>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</si>
  <si>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</si>
  <si>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</si>
  <si>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</si>
  <si>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</si>
  <si>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</si>
  <si>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</si>
  <si>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</si>
  <si>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</si>
  <si>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</si>
  <si>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</si>
  <si>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</si>
  <si>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</si>
  <si>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</si>
  <si>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</si>
  <si>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</si>
  <si>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</si>
  <si>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</si>
  <si>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</si>
  <si>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</si>
  <si>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</si>
  <si>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</si>
  <si>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</si>
  <si>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</si>
  <si>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</si>
  <si>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</si>
  <si>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</si>
  <si>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</si>
  <si>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</si>
  <si>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</si>
  <si>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</si>
  <si>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</si>
  <si>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</si>
  <si>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</si>
  <si>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</si>
  <si>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</si>
  <si>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</si>
  <si>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</si>
  <si>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</si>
  <si>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</si>
  <si>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</si>
  <si>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</si>
  <si>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</si>
  <si>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</si>
  <si>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</si>
  <si>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</si>
  <si>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</si>
  <si>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</si>
  <si>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</si>
  <si>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</si>
  <si>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</si>
  <si>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</si>
  <si>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</si>
  <si>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</si>
  <si>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</si>
  <si>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</si>
  <si>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</si>
  <si>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</si>
  <si>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</si>
  <si>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</si>
  <si>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</si>
  <si>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</si>
  <si>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</si>
  <si>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</si>
  <si>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</si>
  <si>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</si>
  <si>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</si>
  <si>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</si>
  <si>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</si>
  <si>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</si>
  <si>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</si>
  <si>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</si>
  <si>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</si>
  <si>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</si>
  <si>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</si>
  <si>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</si>
  <si>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</si>
  <si>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</si>
  <si>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</si>
  <si>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</si>
  <si>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</si>
  <si>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</si>
  <si>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</si>
  <si>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</si>
  <si>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</si>
  <si>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</si>
  <si>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</si>
  <si>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</si>
  <si>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</si>
  <si>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</si>
  <si>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</si>
  <si>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</si>
  <si>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</si>
  <si>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</si>
  <si>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</si>
  <si>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</si>
  <si>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</si>
  <si>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</si>
  <si>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</si>
  <si>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</si>
  <si>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</si>
  <si>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</si>
  <si>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</si>
  <si>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</si>
  <si>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</si>
  <si>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</si>
  <si>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</si>
  <si>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</si>
  <si>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</si>
  <si>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</si>
  <si>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</si>
  <si>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</si>
  <si>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</si>
  <si>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</si>
  <si>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</si>
  <si>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</si>
  <si>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</si>
  <si>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</si>
  <si>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</si>
  <si>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</si>
  <si>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</si>
  <si>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</si>
  <si>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</si>
  <si>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</si>
  <si>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</si>
  <si>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</si>
  <si>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</si>
  <si>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</si>
  <si>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</si>
  <si>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</si>
  <si>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</si>
  <si>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</si>
  <si>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</si>
  <si>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</si>
  <si>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</si>
  <si>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</si>
  <si>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</si>
  <si>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</si>
  <si>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</si>
  <si>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</si>
  <si>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</si>
  <si>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</si>
  <si>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</si>
  <si>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</si>
  <si>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</si>
  <si>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</si>
  <si>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</si>
  <si>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</si>
  <si>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</si>
  <si>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</si>
  <si>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</si>
  <si>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</si>
  <si>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</si>
  <si>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</si>
  <si>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</si>
  <si>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</si>
  <si>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</si>
  <si>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</si>
  <si>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</si>
  <si>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</si>
  <si>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</si>
  <si>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</si>
  <si>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</si>
  <si>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</si>
  <si>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</si>
  <si>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</si>
  <si>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</si>
  <si>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</si>
  <si>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</si>
  <si>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</si>
  <si>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</si>
  <si>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</si>
  <si>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</si>
  <si>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</si>
  <si>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</si>
  <si>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</si>
  <si>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</si>
  <si>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</si>
  <si>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</si>
  <si>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</si>
  <si>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</si>
  <si>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</si>
  <si>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</si>
  <si>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</si>
  <si>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</si>
  <si>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</si>
  <si>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</si>
  <si>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</si>
  <si>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</si>
  <si>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</si>
  <si>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</si>
  <si>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</si>
  <si>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</si>
  <si>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</si>
  <si>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</si>
  <si>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</si>
  <si>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</si>
  <si>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</si>
  <si>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</si>
  <si>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</si>
  <si>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</si>
  <si>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</si>
  <si>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</si>
  <si>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</si>
  <si>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</si>
  <si>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</si>
  <si>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</si>
  <si>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</si>
  <si>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</si>
  <si>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</si>
  <si>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</si>
  <si>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</si>
  <si>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</si>
  <si>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</si>
  <si>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</si>
  <si>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</si>
  <si>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</si>
  <si>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</si>
  <si>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</si>
  <si>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</si>
  <si>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</si>
  <si>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</si>
  <si>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</si>
  <si>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</si>
  <si>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</si>
  <si>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</si>
  <si>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</si>
  <si>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</si>
  <si>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</si>
  <si>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</si>
  <si>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</si>
  <si>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</si>
  <si>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</si>
  <si>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</si>
  <si>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</si>
  <si>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</si>
  <si>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</si>
  <si>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</si>
  <si>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</si>
  <si>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</si>
  <si>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</si>
  <si>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</si>
  <si>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</si>
  <si>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</si>
  <si>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</si>
  <si>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</si>
  <si>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</si>
  <si>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</si>
  <si>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</si>
  <si>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</si>
  <si>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</si>
  <si>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</si>
  <si>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</si>
  <si>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</si>
  <si>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</si>
  <si>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</si>
  <si>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</si>
  <si>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</si>
  <si>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</si>
  <si>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</si>
  <si>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</si>
  <si>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</si>
  <si>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</si>
  <si>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</si>
  <si>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</si>
  <si>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</si>
  <si>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</si>
  <si>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</si>
  <si>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</si>
  <si>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</si>
  <si>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</si>
  <si>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</si>
  <si>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</si>
  <si>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</si>
  <si>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</si>
  <si>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</si>
  <si>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</si>
  <si>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</si>
  <si>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</si>
  <si>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</si>
  <si>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</si>
  <si>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</si>
  <si>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</si>
  <si>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</si>
  <si>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</si>
  <si>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</si>
  <si>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</si>
  <si>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</si>
  <si>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</si>
  <si>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</si>
  <si>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</si>
  <si>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</si>
  <si>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</si>
  <si>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</si>
  <si>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</si>
  <si>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</si>
  <si>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</si>
  <si>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</si>
  <si>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</si>
  <si>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</si>
  <si>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</si>
  <si>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</si>
  <si>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</si>
  <si>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</si>
  <si>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</si>
  <si>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</si>
  <si>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</si>
  <si>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</si>
  <si>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</si>
  <si>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</si>
  <si>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</si>
  <si>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</si>
  <si>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</si>
  <si>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</si>
  <si>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</si>
  <si>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</si>
  <si>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</si>
  <si>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</si>
  <si>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</si>
  <si>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</si>
  <si>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</si>
  <si>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</si>
  <si>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</si>
  <si>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</si>
  <si>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</si>
  <si>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</si>
  <si>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</si>
  <si>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</si>
  <si>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</si>
  <si>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</si>
  <si>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</si>
  <si>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</si>
  <si>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</si>
  <si>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</si>
  <si>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</si>
  <si>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</si>
  <si>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</si>
  <si>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</si>
  <si>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</si>
  <si>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</si>
  <si>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</si>
  <si>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</si>
  <si>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</si>
  <si>
    <t>FTP的基本工作原理&gt;命令通道、数据通道</t>
    <phoneticPr fontId="2" type="noConversion"/>
  </si>
  <si>
    <t>网络架构</t>
    <phoneticPr fontId="2" type="noConversion"/>
  </si>
  <si>
    <t>C/S（通信方、工作方式、主流应用、服务集中型、特性）</t>
    <phoneticPr fontId="2" type="noConversion"/>
  </si>
  <si>
    <t>P2P（通信方、工作方式、主流应用、服务分散型、特性）</t>
    <phoneticPr fontId="2" type="noConversion"/>
  </si>
  <si>
    <t>DHCP使用的架构、运输层协议、端口号</t>
    <phoneticPr fontId="2" type="noConversion"/>
  </si>
  <si>
    <t>自治系统之间的路由选择</t>
    <phoneticPr fontId="2" type="noConversion"/>
  </si>
  <si>
    <t>域名使用场景</t>
    <phoneticPr fontId="2" type="noConversion"/>
  </si>
  <si>
    <t>FTP的应用</t>
    <phoneticPr fontId="2" type="noConversion"/>
  </si>
  <si>
    <t>FTP的基本工作原理&gt;主动模式、被动模式</t>
    <phoneticPr fontId="2" type="noConversion"/>
  </si>
  <si>
    <t>使用SMTP协议发送待转发的邮件的过程</t>
    <phoneticPr fontId="2" type="noConversion"/>
  </si>
  <si>
    <t>电子邮件的信息格式&gt;信封、内容（首部、主体）</t>
    <phoneticPr fontId="2" type="noConversion"/>
  </si>
  <si>
    <t>电话通信的两个缺点</t>
    <phoneticPr fontId="2" type="noConversion"/>
  </si>
  <si>
    <t>HTTP协议</t>
    <phoneticPr fontId="2" type="noConversion"/>
  </si>
  <si>
    <t>HTTP报文格式&gt;HTTP请求报文常见方法</t>
    <phoneticPr fontId="2" type="noConversion"/>
  </si>
  <si>
    <t>HTTP协议&gt;HTTP2</t>
    <phoneticPr fontId="2" type="noConversion"/>
  </si>
  <si>
    <t>HTTP协议&gt;HTTP3</t>
    <phoneticPr fontId="2" type="noConversion"/>
  </si>
  <si>
    <t>HTTP报文格式&gt;HTTP请求报文GET和POST的区别是什么</t>
    <phoneticPr fontId="2" type="noConversion"/>
  </si>
  <si>
    <t>Websocket和HTTP有什么区别</t>
    <phoneticPr fontId="2" type="noConversion"/>
  </si>
  <si>
    <t>HTTP和HTTPs有什么区别</t>
    <phoneticPr fontId="2" type="noConversion"/>
  </si>
  <si>
    <t>HTTP报文格式&gt;HTTP响应报文常见状态码1xx</t>
    <phoneticPr fontId="2" type="noConversion"/>
  </si>
  <si>
    <t>HTTP报文格式&gt;HTTP响应报文常见状态码2xx</t>
    <phoneticPr fontId="2" type="noConversion"/>
  </si>
  <si>
    <t>HTTP报文格式&gt;HTTP响应报文常见状态码3xx</t>
    <phoneticPr fontId="2" type="noConversion"/>
  </si>
  <si>
    <t>HTTP报文格式&gt;HTTP响应报文常见状态码4xx</t>
    <phoneticPr fontId="2" type="noConversion"/>
  </si>
  <si>
    <t>HTTP报文格式&gt;HTTP响应报文常见状态码5xx</t>
    <phoneticPr fontId="2" type="noConversion"/>
  </si>
  <si>
    <t>什么是Websocket</t>
    <phoneticPr fontId="2" type="noConversion"/>
  </si>
  <si>
    <t>万维网缓存与代理服务器</t>
    <phoneticPr fontId="2" type="noConversion"/>
  </si>
  <si>
    <t>万维网缓存与代理服务器&gt;缓存破坏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</si>
</sst>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403</xdr:row>
          <xdr:rowOff>0</xdr:rowOff>
        </xdr:from>
        <xdr:to>
          <xdr:col>4</xdr:col>
          <xdr:colOff>0</xdr:colOff>
          <xdr:row>404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404</xdr:row>
          <xdr:rowOff>0</xdr:rowOff>
        </xdr:from>
        <xdr:to>
          <xdr:col>4</xdr:col>
          <xdr:colOff>0</xdr:colOff>
          <xdr:row>405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0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000-0000E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0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73" name="Button 4325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0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74" name="Button 4326" hidden="1">
              <a:extLst>
                <a:ext uri="{63B3BB69-23CF-44E3-9099-C40C66FF867C}">
                  <a14:compatExt spid="_x0000_s6374"/>
                </a:ext>
                <a:ext uri="{FF2B5EF4-FFF2-40B4-BE49-F238E27FC236}">
                  <a16:creationId xmlns:a16="http://schemas.microsoft.com/office/drawing/2014/main" id="{00000000-0008-0000-0000-0000E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75" name="Button 4327" hidden="1">
              <a:extLst>
                <a:ext uri="{63B3BB69-23CF-44E3-9099-C40C66FF867C}">
                  <a14:compatExt spid="_x0000_s6375"/>
                </a:ext>
                <a:ext uri="{FF2B5EF4-FFF2-40B4-BE49-F238E27FC236}">
                  <a16:creationId xmlns:a16="http://schemas.microsoft.com/office/drawing/2014/main" id="{00000000-0008-0000-0000-0000E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76" name="Button 4328" hidden="1">
              <a:extLst>
                <a:ext uri="{63B3BB69-23CF-44E3-9099-C40C66FF867C}">
                  <a14:compatExt spid="_x0000_s6376"/>
                </a:ext>
                <a:ext uri="{FF2B5EF4-FFF2-40B4-BE49-F238E27FC236}">
                  <a16:creationId xmlns:a16="http://schemas.microsoft.com/office/drawing/2014/main" id="{00000000-0008-0000-0000-0000E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77" name="Button 4329" hidden="1">
              <a:extLst>
                <a:ext uri="{63B3BB69-23CF-44E3-9099-C40C66FF867C}">
                  <a14:compatExt spid="_x0000_s6377"/>
                </a:ext>
                <a:ext uri="{FF2B5EF4-FFF2-40B4-BE49-F238E27FC236}">
                  <a16:creationId xmlns:a16="http://schemas.microsoft.com/office/drawing/2014/main" id="{00000000-0008-0000-0000-0000E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78" name="Button 4330" hidden="1">
              <a:extLst>
                <a:ext uri="{63B3BB69-23CF-44E3-9099-C40C66FF867C}">
                  <a14:compatExt spid="_x0000_s6378"/>
                </a:ext>
                <a:ext uri="{FF2B5EF4-FFF2-40B4-BE49-F238E27FC236}">
                  <a16:creationId xmlns:a16="http://schemas.microsoft.com/office/drawing/2014/main" id="{00000000-0008-0000-0000-0000E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79" name="Button 4331" hidden="1">
              <a:extLst>
                <a:ext uri="{63B3BB69-23CF-44E3-9099-C40C66FF867C}">
                  <a14:compatExt spid="_x0000_s6379"/>
                </a:ext>
                <a:ext uri="{FF2B5EF4-FFF2-40B4-BE49-F238E27FC236}">
                  <a16:creationId xmlns:a16="http://schemas.microsoft.com/office/drawing/2014/main" id="{00000000-0008-0000-0000-0000E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80" name="Button 4332" hidden="1">
              <a:extLst>
                <a:ext uri="{63B3BB69-23CF-44E3-9099-C40C66FF867C}">
                  <a14:compatExt spid="_x0000_s6380"/>
                </a:ext>
                <a:ext uri="{FF2B5EF4-FFF2-40B4-BE49-F238E27FC236}">
                  <a16:creationId xmlns:a16="http://schemas.microsoft.com/office/drawing/2014/main" id="{00000000-0008-0000-0000-0000E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81" name="Button 4333" hidden="1">
              <a:extLst>
                <a:ext uri="{63B3BB69-23CF-44E3-9099-C40C66FF867C}">
                  <a14:compatExt spid="_x0000_s6381"/>
                </a:ext>
                <a:ext uri="{FF2B5EF4-FFF2-40B4-BE49-F238E27FC236}">
                  <a16:creationId xmlns:a16="http://schemas.microsoft.com/office/drawing/2014/main" id="{00000000-0008-0000-0000-0000E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82" name="Button 4334" hidden="1">
              <a:extLst>
                <a:ext uri="{63B3BB69-23CF-44E3-9099-C40C66FF867C}">
                  <a14:compatExt spid="_x0000_s6382"/>
                </a:ext>
                <a:ext uri="{FF2B5EF4-FFF2-40B4-BE49-F238E27FC236}">
                  <a16:creationId xmlns:a16="http://schemas.microsoft.com/office/drawing/2014/main" id="{00000000-0008-0000-0000-0000E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83" name="Button 4335" hidden="1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0000000-0008-0000-0000-0000E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84" name="Button 4336" hidden="1">
              <a:extLst>
                <a:ext uri="{63B3BB69-23CF-44E3-9099-C40C66FF867C}">
                  <a14:compatExt spid="_x0000_s6384"/>
                </a:ext>
                <a:ext uri="{FF2B5EF4-FFF2-40B4-BE49-F238E27FC236}">
                  <a16:creationId xmlns:a16="http://schemas.microsoft.com/office/drawing/2014/main" id="{00000000-0008-0000-0000-0000F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85" name="Button 4337" hidden="1">
              <a:extLst>
                <a:ext uri="{63B3BB69-23CF-44E3-9099-C40C66FF867C}">
                  <a14:compatExt spid="_x0000_s6385"/>
                </a:ext>
                <a:ext uri="{FF2B5EF4-FFF2-40B4-BE49-F238E27FC236}">
                  <a16:creationId xmlns:a16="http://schemas.microsoft.com/office/drawing/2014/main" id="{00000000-0008-0000-0000-0000F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60" zoomScaleNormal="160" workbookViewId="0">
      <pane ySplit="3" topLeftCell="A389" activePane="bottomLeft" state="frozen"/>
      <selection pane="bottomLeft" activeCell="C160" sqref="C160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6" t="s">
        <v>9</v>
      </c>
      <c r="B1" s="26"/>
      <c r="C1" s="26"/>
      <c r="D1" s="26"/>
      <c r="E1" s="26"/>
      <c r="F1" s="26"/>
      <c r="G1" s="26"/>
      <c r="H1" s="26"/>
      <c r="I1" s="2"/>
      <c r="J1" s="2"/>
      <c r="K1" s="2"/>
      <c r="L1" s="2"/>
      <c r="Z1"/>
    </row>
    <row r="2" spans="1:26" s="3" customFormat="1" ht="13.9" customHeight="1" x14ac:dyDescent="0.2">
      <c r="A2" s="27"/>
      <c r="B2" s="27"/>
      <c r="C2" s="27"/>
      <c r="D2" s="27"/>
      <c r="E2" s="27"/>
      <c r="F2" s="26"/>
      <c r="G2" s="26"/>
      <c r="H2" s="26"/>
      <c r="I2" s="2"/>
      <c r="J2" s="2"/>
      <c r="K2" s="2"/>
      <c r="L2" s="2"/>
    </row>
    <row r="3" spans="1:26" s="25" customFormat="1" x14ac:dyDescent="0.2">
      <c r="A3" s="17"/>
      <c r="B3" s="4"/>
      <c r="C3" s="15"/>
      <c r="D3" s="4"/>
      <c r="E3" s="9" t="s">
        <v>0</v>
      </c>
      <c r="F3" s="24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8" t="str" cm="1">
        <f t="array" aca="1" ref="E4" ca="1">IFERROR(_xlfn.SINGLE(FormatTimeSpan(NOW()-LOOKUP(2,1/(F4:ZZ4&lt;&gt;""),F4:ZZ4))),"")</f>
        <v>29天13小时39分21秒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8" t="str" cm="1">
        <f t="array" aca="1" ref="E5" ca="1">IFERROR(_xlfn.SINGLE(FormatTimeSpan(NOW()-LOOKUP(2,1/(F5:ZZ5&lt;&gt;""),F5:ZZ5))),"")</f>
        <v>29天13小时38分55秒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8" t="str">
        <f ca="1">IFERROR(FormatTimeSpan(NOW()-LOOKUP(2,1/(F6:ZZ6&lt;&gt;""),F6:ZZ6)),"")</f>
        <v>29天13小时35分30秒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8" t="str" cm="1">
        <f t="array" aca="1" ref="E7" ca="1">IFERROR(_xlfn.SINGLE(FormatTimeSpan(NOW()-LOOKUP(2,1/(F7:ZZ7&lt;&gt;""),F7:ZZ7))),"")</f>
        <v>29天13小时34分40秒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8" t="str" cm="1">
        <f t="array" aca="1" ref="E8" ca="1">IFERROR(_xlfn.SINGLE(FormatTimeSpan(NOW()-LOOKUP(2,1/(F8:ZZ8&lt;&gt;""),F8:ZZ8))),"")</f>
        <v>29天13小时30分39秒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8" t="str">
        <f ca="1">IFERROR(FormatTimeSpan(NOW()-LOOKUP(2,1/(F9:ZZ9&lt;&gt;""),F9:ZZ9)),"")</f>
        <v>29天13小时28分38秒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8" t="str" cm="1">
        <f t="array" aca="1" ref="E10" ca="1">IFERROR(_xlfn.SINGLE(FormatTimeSpan(NOW()-LOOKUP(2,1/(F10:ZZ10&lt;&gt;""),F10:ZZ10))),"")</f>
        <v>25天13小时28分26秒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8" t="str" cm="1">
        <f t="array" aca="1" ref="E11" ca="1">IFERROR(_xlfn.SINGLE(FormatTimeSpan(NOW()-LOOKUP(2,1/(F11:ZZ11&lt;&gt;""),F11:ZZ11))),"")</f>
        <v>25天13小时26分58秒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8" t="str" cm="1">
        <f t="array" aca="1" ref="E12" ca="1">IFERROR(_xlfn.SINGLE(FormatTimeSpan(NOW()-LOOKUP(2,1/(F12:ZZ12&lt;&gt;""),F12:ZZ12))),"")</f>
        <v>25天13小时18分20秒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8" t="str" cm="1">
        <f t="array" aca="1" ref="E13" ca="1">IFERROR(_xlfn.SINGLE(FormatTimeSpan(NOW()-LOOKUP(2,1/(F13:ZZ13&lt;&gt;""),F13:ZZ13))),"")</f>
        <v>25天13小时8分37秒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8" t="str">
        <f ca="1">IFERROR(FormatTimeSpan(NOW()-LOOKUP(2,1/(F14:ZZ14&lt;&gt;""),F14:ZZ14)),"")</f>
        <v>25天13小时4分46秒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8" t="str">
        <f ca="1">IFERROR(FormatTimeSpan(NOW()-LOOKUP(2,1/(F15:ZZ15&lt;&gt;""),F15:ZZ15)),"")</f>
        <v>25天13小时3分8秒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8" t="str" cm="1">
        <f t="array" aca="1" ref="E16" ca="1">IFERROR(_xlfn.SINGLE(FormatTimeSpan(NOW()-LOOKUP(2,1/(F16:ZZ16&lt;&gt;""),F16:ZZ16))),"")</f>
        <v>25天12小时58分34秒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8" t="str">
        <f ca="1">IFERROR(FormatTimeSpan(NOW()-LOOKUP(2,1/(F17:ZZ17&lt;&gt;""),F17:ZZ17)),"")</f>
        <v>25天12小时52分41秒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8" t="str">
        <f ca="1">IFERROR(FormatTimeSpan(NOW()-LOOKUP(2,1/(F18:ZZ18&lt;&gt;""),F18:ZZ18)),"")</f>
        <v>25天12小时51分31秒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8" t="str">
        <f ca="1">IFERROR(FormatTimeSpan(NOW()-LOOKUP(2,1/(F19:ZZ19&lt;&gt;""),F19:ZZ19)),"")</f>
        <v>25天12小时47分45秒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8" t="str">
        <f ca="1">IFERROR(FormatTimeSpan(NOW()-LOOKUP(2,1/(F20:ZZ20&lt;&gt;""),F20:ZZ20)),"")</f>
        <v>25天12小时46分26秒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8" t="str">
        <f ca="1">IFERROR(FormatTimeSpan(NOW()-LOOKUP(2,1/(F21:ZZ21&lt;&gt;""),F21:ZZ21)),"")</f>
        <v>25天12小时42分46秒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8" t="str">
        <f ca="1">IFERROR(FormatTimeSpan(NOW()-LOOKUP(2,1/(F22:ZZ22&lt;&gt;""),F22:ZZ22)),"")</f>
        <v>25天12小时41分57秒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8" t="str">
        <f ca="1">IFERROR(FormatTimeSpan(NOW()-LOOKUP(2,1/(F23:ZZ23&lt;&gt;""),F23:ZZ23)),"")</f>
        <v>25天12小时40分52秒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8" t="str">
        <f ca="1">IFERROR(FormatTimeSpan(NOW()-LOOKUP(2,1/(F24:ZZ24&lt;&gt;""),F24:ZZ24)),"")</f>
        <v>25天12小时34分45秒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8" t="str">
        <f ca="1">IFERROR(FormatTimeSpan(NOW()-LOOKUP(2,1/(F25:ZZ25&lt;&gt;""),F25:ZZ25)),"")</f>
        <v>25天12小时31分10秒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8" t="str">
        <f ca="1">IFERROR(FormatTimeSpan(NOW()-LOOKUP(2,1/(F26:ZZ26&lt;&gt;""),F26:ZZ26)),"")</f>
        <v>20天32分54秒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8" t="str">
        <f ca="1">IFERROR(FormatTimeSpan(NOW()-LOOKUP(2,1/(F27:ZZ27&lt;&gt;""),F27:ZZ27)),"")</f>
        <v>20天9分19秒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8" t="str">
        <f ca="1">IFERROR(FormatTimeSpan(NOW()-LOOKUP(2,1/(F28:ZZ28&lt;&gt;""),F28:ZZ28)),"")</f>
        <v>20天5分16秒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8" t="str">
        <f ca="1">IFERROR(FormatTimeSpan(NOW()-LOOKUP(2,1/(F29:ZZ29&lt;&gt;""),F29:ZZ29)),"")</f>
        <v>20天60秒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228</v>
      </c>
      <c r="D30"/>
      <c r="E30" s="28" t="str">
        <f ca="1">IFERROR(FormatTimeSpan(NOW()-LOOKUP(2,1/(F30:ZZ30&lt;&gt;""),F30:ZZ30)),"")</f>
        <v>17天6小时33分36秒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8" t="str">
        <f ca="1">IFERROR(FormatTimeSpan(NOW()-LOOKUP(2,1/(F31:ZZ31&lt;&gt;""),F31:ZZ31)),"")</f>
        <v>17天6小时30分56秒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8" t="str">
        <f ca="1">IFERROR(FormatTimeSpan(NOW()-LOOKUP(2,1/(F32:ZZ32&lt;&gt;""),F32:ZZ32)),"")</f>
        <v>17天6小时16分36秒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8" t="str">
        <f ca="1">IFERROR(FormatTimeSpan(NOW()-LOOKUP(2,1/(F33:ZZ33&lt;&gt;""),F33:ZZ33)),"")</f>
        <v>17天6小时2分8秒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8" t="str">
        <f ca="1">IFERROR(FormatTimeSpan(NOW()-LOOKUP(2,1/(F34:ZZ34&lt;&gt;""),F34:ZZ34)),"")</f>
        <v>17天5小时38分37秒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8" t="str">
        <f ca="1">IFERROR(FormatTimeSpan(NOW()-LOOKUP(2,1/(F35:ZZ35&lt;&gt;""),F35:ZZ35)),"")</f>
        <v>17天5小时31分27秒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8" t="str">
        <f ca="1">IFERROR(FormatTimeSpan(NOW()-LOOKUP(2,1/(F36:ZZ36&lt;&gt;""),F36:ZZ36)),"")</f>
        <v>17天5小时25分7秒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8" t="str">
        <f ca="1">IFERROR(FormatTimeSpan(NOW()-LOOKUP(2,1/(F37:ZZ37&lt;&gt;""),F37:ZZ37)),"")</f>
        <v>17天5小时24分58秒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8" t="str">
        <f ca="1">IFERROR(FormatTimeSpan(NOW()-LOOKUP(2,1/(F38:ZZ38&lt;&gt;""),F38:ZZ38)),"")</f>
        <v>17天5小时24分20秒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8" t="str">
        <f ca="1">IFERROR(FormatTimeSpan(NOW()-LOOKUP(2,1/(F39:ZZ39&lt;&gt;""),F39:ZZ39)),"")</f>
        <v>17天5小时24分16秒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8" t="str">
        <f ca="1">IFERROR(FormatTimeSpan(NOW()-LOOKUP(2,1/(F40:ZZ40&lt;&gt;""),F40:ZZ40)),"")</f>
        <v>17天5小时21分22秒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229</v>
      </c>
      <c r="D41"/>
      <c r="E41" s="28" t="str">
        <f ca="1">IFERROR(FormatTimeSpan(NOW()-LOOKUP(2,1/(F41:ZZ41&lt;&gt;""),F41:ZZ41)),"")</f>
        <v>17天2小时37分4秒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8" t="str">
        <f ca="1">IFERROR(FormatTimeSpan(NOW()-LOOKUP(2,1/(F42:ZZ42&lt;&gt;""),F42:ZZ42)),"")</f>
        <v>17天2小时24分57秒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8" t="str">
        <f ca="1">IFERROR(FormatTimeSpan(NOW()-LOOKUP(2,1/(F43:ZZ43&lt;&gt;""),F43:ZZ43)),"")</f>
        <v>17天2小时14分24秒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362</v>
      </c>
      <c r="D44"/>
      <c r="E44" s="28" t="str">
        <f ca="1">IFERROR(FormatTimeSpan(NOW()-LOOKUP(2,1/(F44:ZZ44&lt;&gt;""),F44:ZZ44)),"")</f>
        <v>11天12小时14分31秒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363</v>
      </c>
      <c r="D45"/>
      <c r="E45" s="29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8" t="str">
        <f ca="1">IFERROR(FormatTimeSpan(NOW()-LOOKUP(2,1/(F46:ZZ46&lt;&gt;""),F46:ZZ46)),"")</f>
        <v>11天11小时45分56秒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8" t="str">
        <f ca="1">IFERROR(FormatTimeSpan(NOW()-LOOKUP(2,1/(F47:ZZ47&lt;&gt;""),F47:ZZ47)),"")</f>
        <v>11天11小时29分5秒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8" t="str">
        <f ca="1">IFERROR(FormatTimeSpan(NOW()-LOOKUP(2,1/(F48:ZZ48&lt;&gt;""),F48:ZZ48)),"")</f>
        <v>11天10小时58分11秒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2" s="8" customFormat="1" x14ac:dyDescent="0.2">
      <c r="A49" s="18"/>
      <c r="B49" s="5" t="b">
        <v>0</v>
      </c>
      <c r="C49" s="14" t="s">
        <v>51</v>
      </c>
      <c r="D49"/>
      <c r="E49" s="28" t="str">
        <f ca="1">IFERROR(FormatTimeSpan(NOW()-LOOKUP(2,1/(F49:ZZ49&lt;&gt;""),F49:ZZ49)),"")</f>
        <v>12小时29分38秒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  <c r="L49" s="6">
        <v>45924.412291666667</v>
      </c>
    </row>
    <row r="50" spans="1:12" s="8" customFormat="1" x14ac:dyDescent="0.2">
      <c r="A50" s="18"/>
      <c r="B50" s="5" t="b">
        <v>0</v>
      </c>
      <c r="C50" s="14" t="s">
        <v>47</v>
      </c>
      <c r="D50"/>
      <c r="E50" s="28" t="str">
        <f ca="1">IFERROR(FormatTimeSpan(NOW()-LOOKUP(2,1/(F50:ZZ50&lt;&gt;""),F50:ZZ50)),"")</f>
        <v>12小时5分46秒</v>
      </c>
      <c r="F50" s="6">
        <v>45861.418437499997</v>
      </c>
      <c r="G50" s="6">
        <v>45862.35050925926</v>
      </c>
      <c r="H50" s="6">
        <v>45863.378101851849</v>
      </c>
      <c r="I50" s="6">
        <v>45866.772581018522</v>
      </c>
      <c r="J50" s="6">
        <v>45875.719340277778</v>
      </c>
      <c r="K50" s="6">
        <v>45890.861932870372</v>
      </c>
      <c r="L50" s="6">
        <v>45924.428865740738</v>
      </c>
    </row>
    <row r="51" spans="1:12" s="8" customFormat="1" x14ac:dyDescent="0.2">
      <c r="A51" s="18"/>
      <c r="B51" s="5" t="b">
        <v>0</v>
      </c>
      <c r="C51" s="14" t="s">
        <v>48</v>
      </c>
      <c r="D51"/>
      <c r="E51" s="28" t="str">
        <f ca="1">IFERROR(FormatTimeSpan(NOW()-LOOKUP(2,1/(F51:ZZ51&lt;&gt;""),F51:ZZ51)),"")</f>
        <v>10小时37分37秒</v>
      </c>
      <c r="F51" s="6">
        <v>45862.377789351849</v>
      </c>
      <c r="G51" s="6">
        <v>45863.365358796298</v>
      </c>
      <c r="H51" s="6">
        <v>45864.446562500001</v>
      </c>
      <c r="I51" s="6">
        <v>45869.871481481481</v>
      </c>
      <c r="J51" s="6">
        <v>45877.434618055559</v>
      </c>
      <c r="K51" s="6">
        <v>45895.395428240743</v>
      </c>
      <c r="L51" s="6">
        <v>45924.490081018521</v>
      </c>
    </row>
    <row r="52" spans="1:12" s="8" customFormat="1" x14ac:dyDescent="0.2">
      <c r="A52" s="18"/>
      <c r="B52" s="5" t="b">
        <v>0</v>
      </c>
      <c r="C52" s="14" t="s">
        <v>49</v>
      </c>
      <c r="D52"/>
      <c r="E52" s="28" t="str">
        <f ca="1">IFERROR(FormatTimeSpan(NOW()-LOOKUP(2,1/(F52:ZZ52&lt;&gt;""),F52:ZZ52)),"")</f>
        <v>10小时22分15秒</v>
      </c>
      <c r="F52" s="6">
        <v>45866.362372685187</v>
      </c>
      <c r="G52" s="6">
        <v>45867.345706018517</v>
      </c>
      <c r="H52" s="6">
        <v>45869.871516203704</v>
      </c>
      <c r="I52" s="6">
        <v>45873.355405092596</v>
      </c>
      <c r="J52" s="6">
        <v>45880.412719907406</v>
      </c>
      <c r="K52" s="6">
        <v>45895.457060185188</v>
      </c>
      <c r="L52" s="6">
        <v>45924.500752314816</v>
      </c>
    </row>
    <row r="53" spans="1:12" s="8" customFormat="1" x14ac:dyDescent="0.2">
      <c r="A53" s="18"/>
      <c r="B53" s="5" t="b">
        <v>0</v>
      </c>
      <c r="C53" s="14" t="s">
        <v>50</v>
      </c>
      <c r="D53"/>
      <c r="E53" s="28" t="str">
        <f ca="1">IFERROR(FormatTimeSpan(NOW()-LOOKUP(2,1/(F53:ZZ53&lt;&gt;""),F53:ZZ53)),"")</f>
        <v>27天1小时31分4秒</v>
      </c>
      <c r="F53" s="6">
        <v>45869.87158564815</v>
      </c>
      <c r="G53" s="6">
        <v>45870.992708333331</v>
      </c>
      <c r="H53" s="6">
        <v>45872.646747685183</v>
      </c>
      <c r="I53" s="6">
        <v>45875.723217592589</v>
      </c>
      <c r="J53" s="6">
        <v>45882.858055555553</v>
      </c>
      <c r="K53" s="6">
        <v>45897.869629629633</v>
      </c>
    </row>
    <row r="54" spans="1:12" s="8" customFormat="1" x14ac:dyDescent="0.2">
      <c r="A54" s="18"/>
      <c r="B54" s="5" t="b">
        <v>0</v>
      </c>
      <c r="C54" s="14" t="s">
        <v>57</v>
      </c>
      <c r="D54"/>
      <c r="E54" s="28" t="str">
        <f ca="1">IFERROR(FormatTimeSpan(NOW()-LOOKUP(2,1/(F54:ZZ54&lt;&gt;""),F54:ZZ54)),"")</f>
        <v>27天1小时25分23秒</v>
      </c>
      <c r="F54" s="6">
        <v>45869.87158564815</v>
      </c>
      <c r="G54" s="6">
        <v>45870.99318287037</v>
      </c>
      <c r="H54" s="6">
        <v>45872.647187499999</v>
      </c>
      <c r="I54" s="6">
        <v>45875.723877314813</v>
      </c>
      <c r="J54" s="6">
        <v>45882.858078703706</v>
      </c>
      <c r="K54" s="6">
        <v>45897.873576388891</v>
      </c>
    </row>
    <row r="55" spans="1:12" s="8" customFormat="1" x14ac:dyDescent="0.2">
      <c r="A55" s="18"/>
      <c r="B55" s="5" t="b">
        <v>0</v>
      </c>
      <c r="C55" s="14" t="s">
        <v>58</v>
      </c>
      <c r="D55"/>
      <c r="E55" s="28" t="str">
        <f ca="1">IFERROR(FormatTimeSpan(NOW()-LOOKUP(2,1/(F55:ZZ55&lt;&gt;""),F55:ZZ55)),"")</f>
        <v>27天1小时22分14秒</v>
      </c>
      <c r="F55" s="6">
        <v>45869.87158564815</v>
      </c>
      <c r="G55" s="6">
        <v>45870.994074074071</v>
      </c>
      <c r="H55" s="6">
        <v>45872.648321759261</v>
      </c>
      <c r="I55" s="6">
        <v>45875.72729166667</v>
      </c>
      <c r="J55" s="6">
        <v>45882.859965277778</v>
      </c>
      <c r="K55" s="6">
        <v>45897.875763888886</v>
      </c>
    </row>
    <row r="56" spans="1:12" s="8" customFormat="1" x14ac:dyDescent="0.2">
      <c r="A56" s="18"/>
      <c r="B56" s="5" t="b">
        <v>0</v>
      </c>
      <c r="C56" s="14" t="s">
        <v>59</v>
      </c>
      <c r="D56"/>
      <c r="E56" s="28" t="str">
        <f ca="1">IFERROR(FormatTimeSpan(NOW()-LOOKUP(2,1/(F56:ZZ56&lt;&gt;""),F56:ZZ56)),"")</f>
        <v>27天1小时12分46秒</v>
      </c>
      <c r="F56" s="6">
        <v>45869.87158564815</v>
      </c>
      <c r="G56" s="6">
        <v>45870.995266203703</v>
      </c>
      <c r="H56" s="6">
        <v>45872.650891203702</v>
      </c>
      <c r="I56" s="6">
        <v>45875.729004629633</v>
      </c>
      <c r="J56" s="6">
        <v>45882.864537037036</v>
      </c>
      <c r="K56" s="6">
        <v>45897.882337962961</v>
      </c>
    </row>
    <row r="57" spans="1:12" s="8" customFormat="1" x14ac:dyDescent="0.2">
      <c r="A57" s="18"/>
      <c r="B57" s="5" t="b">
        <v>0</v>
      </c>
      <c r="C57" s="14" t="s">
        <v>52</v>
      </c>
      <c r="D57"/>
      <c r="E57" s="28" t="str">
        <f ca="1">IFERROR(FormatTimeSpan(NOW()-LOOKUP(2,1/(F57:ZZ57&lt;&gt;""),F57:ZZ57)),"")</f>
        <v>27天1小时7分28秒</v>
      </c>
      <c r="F57" s="6">
        <v>45869.874166666668</v>
      </c>
      <c r="G57" s="6">
        <v>45870.996365740742</v>
      </c>
      <c r="H57" s="6">
        <v>45872.651886574073</v>
      </c>
      <c r="I57" s="6">
        <v>45875.731805555559</v>
      </c>
      <c r="J57" s="6">
        <v>45882.877893518518</v>
      </c>
      <c r="K57" s="6">
        <v>45897.886018518519</v>
      </c>
    </row>
    <row r="58" spans="1:12" s="8" customFormat="1" x14ac:dyDescent="0.2">
      <c r="A58" s="18"/>
      <c r="B58" s="5" t="b">
        <v>0</v>
      </c>
      <c r="C58" s="14" t="s">
        <v>60</v>
      </c>
      <c r="D58"/>
      <c r="E58" s="28" t="str">
        <f ca="1">IFERROR(FormatTimeSpan(NOW()-LOOKUP(2,1/(F58:ZZ58&lt;&gt;""),F58:ZZ58)),"")</f>
        <v>27天1小时5分1秒</v>
      </c>
      <c r="F58" s="6">
        <v>45869.874189814815</v>
      </c>
      <c r="G58" s="6">
        <v>45870.998124999998</v>
      </c>
      <c r="H58" s="6">
        <v>45872.653263888889</v>
      </c>
      <c r="I58" s="6">
        <v>45875.735324074078</v>
      </c>
      <c r="J58" s="6">
        <v>45882.878796296296</v>
      </c>
      <c r="K58" s="6">
        <v>45897.887719907405</v>
      </c>
    </row>
    <row r="59" spans="1:12" s="8" customFormat="1" x14ac:dyDescent="0.2">
      <c r="A59" s="18"/>
      <c r="B59" s="5" t="b">
        <v>0</v>
      </c>
      <c r="C59" s="14" t="s">
        <v>53</v>
      </c>
      <c r="D59"/>
      <c r="E59" s="28" t="str">
        <f ca="1">IFERROR(FormatTimeSpan(NOW()-LOOKUP(2,1/(F59:ZZ59&lt;&gt;""),F59:ZZ59)),"")</f>
        <v>22天7小时37分30秒</v>
      </c>
      <c r="F59" s="6">
        <v>45872.654270833336</v>
      </c>
      <c r="G59" s="6">
        <v>45874.902442129627</v>
      </c>
      <c r="H59" s="6">
        <v>45876.455787037034</v>
      </c>
      <c r="I59" s="6">
        <v>45880.344236111108</v>
      </c>
      <c r="J59" s="6">
        <v>45887.382511574076</v>
      </c>
      <c r="K59" s="6">
        <v>45902.615162037036</v>
      </c>
    </row>
    <row r="60" spans="1:12" s="8" customFormat="1" x14ac:dyDescent="0.2">
      <c r="A60" s="18"/>
      <c r="B60" s="5" t="b">
        <v>0</v>
      </c>
      <c r="C60" s="14" t="s">
        <v>54</v>
      </c>
      <c r="D60"/>
      <c r="E60" s="28" t="str">
        <f ca="1">IFERROR(FormatTimeSpan(NOW()-LOOKUP(2,1/(F60:ZZ60&lt;&gt;""),F60:ZZ60)),"")</f>
        <v>22天7小时35分41秒</v>
      </c>
      <c r="F60" s="6">
        <v>45872.6559375</v>
      </c>
      <c r="G60" s="6">
        <v>45874.90761574074</v>
      </c>
      <c r="H60" s="6">
        <v>45876.456331018519</v>
      </c>
      <c r="I60" s="6">
        <v>45880.345451388886</v>
      </c>
      <c r="J60" s="6">
        <v>45887.383449074077</v>
      </c>
      <c r="K60" s="6">
        <v>45902.616423611114</v>
      </c>
    </row>
    <row r="61" spans="1:12" s="8" customFormat="1" x14ac:dyDescent="0.2">
      <c r="A61" s="18"/>
      <c r="B61" s="5" t="b">
        <v>0</v>
      </c>
      <c r="C61" s="14" t="s">
        <v>55</v>
      </c>
      <c r="D61"/>
      <c r="E61" s="28" t="str">
        <f ca="1">IFERROR(FormatTimeSpan(NOW()-LOOKUP(2,1/(F61:ZZ61&lt;&gt;""),F61:ZZ61)),"")</f>
        <v>22天7小时29分20秒</v>
      </c>
      <c r="F61" s="6">
        <v>45872.658425925925</v>
      </c>
      <c r="G61" s="6">
        <v>45874.918553240743</v>
      </c>
      <c r="H61" s="6">
        <v>45876.457881944443</v>
      </c>
      <c r="I61" s="6">
        <v>45880.34615740741</v>
      </c>
      <c r="J61" s="6">
        <v>45887.384687500002</v>
      </c>
      <c r="K61" s="6">
        <v>45902.620833333334</v>
      </c>
    </row>
    <row r="62" spans="1:12" s="8" customFormat="1" x14ac:dyDescent="0.2">
      <c r="A62" s="18"/>
      <c r="B62" s="5" t="b">
        <v>0</v>
      </c>
      <c r="C62" s="14" t="s">
        <v>56</v>
      </c>
      <c r="D62"/>
      <c r="E62" s="28" t="str">
        <f ca="1">IFERROR(FormatTimeSpan(NOW()-LOOKUP(2,1/(F62:ZZ62&lt;&gt;""),F62:ZZ62)),"")</f>
        <v>22天7小时1分9秒</v>
      </c>
      <c r="F62" s="6">
        <v>45872.663831018515</v>
      </c>
      <c r="G62" s="6">
        <v>45874.918749999997</v>
      </c>
      <c r="H62" s="6">
        <v>45876.4606712963</v>
      </c>
      <c r="I62" s="6">
        <v>45880.352685185186</v>
      </c>
      <c r="J62" s="6">
        <v>45887.391342592593</v>
      </c>
      <c r="K62" s="6">
        <v>45902.640405092592</v>
      </c>
    </row>
    <row r="63" spans="1:12" s="8" customFormat="1" x14ac:dyDescent="0.2">
      <c r="A63" s="18"/>
      <c r="B63" s="5" t="b">
        <v>0</v>
      </c>
      <c r="C63" s="14" t="s">
        <v>61</v>
      </c>
      <c r="D63"/>
      <c r="E63" s="28" t="str">
        <f ca="1">IFERROR(FormatTimeSpan(NOW()-LOOKUP(2,1/(F63:ZZ63&lt;&gt;""),F63:ZZ63)),"")</f>
        <v>22天6小时45分2秒</v>
      </c>
      <c r="F63" s="6">
        <v>45872.667916666665</v>
      </c>
      <c r="G63" s="6">
        <v>45875.394502314812</v>
      </c>
      <c r="H63" s="6">
        <v>45876.470046296294</v>
      </c>
      <c r="I63" s="6">
        <v>45880.354409722226</v>
      </c>
      <c r="J63" s="6">
        <v>45887.395868055559</v>
      </c>
      <c r="K63" s="6">
        <v>45902.651597222219</v>
      </c>
    </row>
    <row r="64" spans="1:12" s="8" customFormat="1" x14ac:dyDescent="0.2">
      <c r="A64" s="18"/>
      <c r="B64" s="5" t="b">
        <v>0</v>
      </c>
      <c r="C64" s="14" t="s">
        <v>62</v>
      </c>
      <c r="D64"/>
      <c r="E64" s="28" t="str">
        <f ca="1">IFERROR(FormatTimeSpan(NOW()-LOOKUP(2,1/(F64:ZZ64&lt;&gt;""),F64:ZZ64)),"")</f>
        <v>22天6小时41分30秒</v>
      </c>
      <c r="F64" s="6">
        <v>45872.669456018521</v>
      </c>
      <c r="G64" s="6">
        <v>45875.396111111113</v>
      </c>
      <c r="H64" s="6">
        <v>45876.472442129627</v>
      </c>
      <c r="I64" s="6">
        <v>45880.356909722221</v>
      </c>
      <c r="J64" s="6">
        <v>45887.39912037037</v>
      </c>
      <c r="K64" s="6">
        <v>45902.654050925928</v>
      </c>
    </row>
    <row r="65" spans="1:11" s="8" customFormat="1" x14ac:dyDescent="0.2">
      <c r="A65" s="18"/>
      <c r="B65" s="5" t="b">
        <v>0</v>
      </c>
      <c r="C65" s="14" t="s">
        <v>63</v>
      </c>
      <c r="D65"/>
      <c r="E65" s="28" t="str">
        <f ca="1">IFERROR(FormatTimeSpan(NOW()-LOOKUP(2,1/(F65:ZZ65&lt;&gt;""),F65:ZZ65)),"")</f>
        <v>22天6小时31分18秒</v>
      </c>
      <c r="F65" s="6">
        <v>45872.68005787037</v>
      </c>
      <c r="G65" s="6">
        <v>45875.402824074074</v>
      </c>
      <c r="H65" s="6">
        <v>45876.477129629631</v>
      </c>
      <c r="I65" s="6">
        <v>45880.363599537035</v>
      </c>
      <c r="J65" s="6">
        <v>45887.403761574074</v>
      </c>
      <c r="K65" s="6">
        <v>45902.661134259259</v>
      </c>
    </row>
    <row r="66" spans="1:11" s="8" customFormat="1" x14ac:dyDescent="0.2">
      <c r="A66" s="18"/>
      <c r="B66" s="5" t="b">
        <v>0</v>
      </c>
      <c r="C66" s="14" t="s">
        <v>64</v>
      </c>
      <c r="D66"/>
      <c r="E66" s="28" t="str">
        <f ca="1">IFERROR(FormatTimeSpan(NOW()-LOOKUP(2,1/(F66:ZZ66&lt;&gt;""),F66:ZZ66)),"")</f>
        <v>22天6小时28分3秒</v>
      </c>
      <c r="F66" s="6">
        <v>45872.682604166665</v>
      </c>
      <c r="G66" s="6">
        <v>45875.435393518521</v>
      </c>
      <c r="H66" s="6">
        <v>45876.478854166664</v>
      </c>
      <c r="I66" s="6">
        <v>45880.366215277776</v>
      </c>
      <c r="J66" s="6">
        <v>45887.405474537038</v>
      </c>
      <c r="K66" s="6">
        <v>45902.663391203707</v>
      </c>
    </row>
    <row r="67" spans="1:11" s="8" customFormat="1" x14ac:dyDescent="0.2">
      <c r="A67" s="18"/>
      <c r="B67" s="5" t="b">
        <v>0</v>
      </c>
      <c r="C67" s="14" t="s">
        <v>65</v>
      </c>
      <c r="D67"/>
      <c r="E67" s="28" t="str">
        <f ca="1">IFERROR(FormatTimeSpan(NOW()-LOOKUP(2,1/(F67:ZZ67&lt;&gt;""),F67:ZZ67)),"")</f>
        <v>22天6小时26分40秒</v>
      </c>
      <c r="F67" s="6">
        <v>45872.685347222221</v>
      </c>
      <c r="G67" s="6">
        <v>45875.439768518518</v>
      </c>
      <c r="H67" s="6">
        <v>45876.480069444442</v>
      </c>
      <c r="I67" s="6">
        <v>45880.3675</v>
      </c>
      <c r="J67" s="6">
        <v>45887.407152777778</v>
      </c>
      <c r="K67" s="6">
        <v>45902.664351851854</v>
      </c>
    </row>
    <row r="68" spans="1:11" s="8" customFormat="1" x14ac:dyDescent="0.2">
      <c r="A68" s="18"/>
      <c r="B68" s="5" t="b">
        <v>0</v>
      </c>
      <c r="C68" s="14" t="s">
        <v>66</v>
      </c>
      <c r="D68"/>
      <c r="E68" s="28" t="str">
        <f ca="1">IFERROR(FormatTimeSpan(NOW()-LOOKUP(2,1/(F68:ZZ68&lt;&gt;""),F68:ZZ68)),"")</f>
        <v>22天6小时23分56秒</v>
      </c>
      <c r="F68" s="6">
        <v>45872.970543981479</v>
      </c>
      <c r="G68" s="6">
        <v>45875.450960648152</v>
      </c>
      <c r="H68" s="6">
        <v>45876.48097222222</v>
      </c>
      <c r="I68" s="6">
        <v>45880.368796296294</v>
      </c>
      <c r="J68" s="6">
        <v>45887.410462962966</v>
      </c>
      <c r="K68" s="6">
        <v>45902.666250000002</v>
      </c>
    </row>
    <row r="69" spans="1:11" s="8" customFormat="1" x14ac:dyDescent="0.2">
      <c r="A69" s="18"/>
      <c r="B69" s="5" t="b">
        <v>0</v>
      </c>
      <c r="C69" s="14" t="s">
        <v>67</v>
      </c>
      <c r="D69"/>
      <c r="E69" s="28" t="str">
        <f ca="1">IFERROR(FormatTimeSpan(NOW()-LOOKUP(2,1/(F69:ZZ69&lt;&gt;""),F69:ZZ69)),"")</f>
        <v>22天6小时22分30秒</v>
      </c>
      <c r="F69" s="6">
        <v>45872.971782407411</v>
      </c>
      <c r="G69" s="6">
        <v>45875.457881944443</v>
      </c>
      <c r="H69" s="6">
        <v>45876.483240740738</v>
      </c>
      <c r="I69" s="6">
        <v>45880.369826388887</v>
      </c>
      <c r="J69" s="6">
        <v>45887.411481481482</v>
      </c>
      <c r="K69" s="6">
        <v>45902.667245370372</v>
      </c>
    </row>
    <row r="70" spans="1:11" s="8" customFormat="1" x14ac:dyDescent="0.2">
      <c r="A70" s="18"/>
      <c r="B70" s="5" t="b">
        <v>0</v>
      </c>
      <c r="C70" s="14" t="s">
        <v>73</v>
      </c>
      <c r="D70"/>
      <c r="E70" s="28" t="str">
        <f ca="1">IFERROR(FormatTimeSpan(NOW()-LOOKUP(2,1/(F70:ZZ70&lt;&gt;""),F70:ZZ70)),"")</f>
        <v>19天12小时50分33秒</v>
      </c>
      <c r="F70" s="6">
        <v>45876.703773148147</v>
      </c>
      <c r="G70" s="6">
        <v>45877.455891203703</v>
      </c>
      <c r="H70" s="6">
        <v>45878.625752314816</v>
      </c>
      <c r="I70" s="6">
        <v>45881.905543981484</v>
      </c>
      <c r="J70" s="6">
        <v>45889.450995370367</v>
      </c>
      <c r="K70" s="6">
        <v>45905.397766203707</v>
      </c>
    </row>
    <row r="71" spans="1:11" s="8" customFormat="1" x14ac:dyDescent="0.2">
      <c r="A71" s="18"/>
      <c r="B71" s="5" t="b">
        <v>0</v>
      </c>
      <c r="C71" s="14" t="s">
        <v>74</v>
      </c>
      <c r="D71"/>
      <c r="E71" s="28" t="str">
        <f ca="1">IFERROR(FormatTimeSpan(NOW()-LOOKUP(2,1/(F71:ZZ71&lt;&gt;""),F71:ZZ71)),"")</f>
        <v>19天12小时46分45秒</v>
      </c>
      <c r="F71" s="6">
        <v>45876.70553240741</v>
      </c>
      <c r="G71" s="6">
        <v>45877.45925925926</v>
      </c>
      <c r="H71" s="6">
        <v>45878.628761574073</v>
      </c>
      <c r="I71" s="6">
        <v>45881.907337962963</v>
      </c>
      <c r="J71" s="6">
        <v>45889.457083333335</v>
      </c>
      <c r="K71" s="6">
        <v>45905.400405092594</v>
      </c>
    </row>
    <row r="72" spans="1:11" s="8" customFormat="1" x14ac:dyDescent="0.2">
      <c r="A72" s="18"/>
      <c r="B72" s="5" t="b">
        <v>0</v>
      </c>
      <c r="C72" s="14" t="s">
        <v>68</v>
      </c>
      <c r="D72"/>
      <c r="E72" s="28" t="str">
        <f ca="1">IFERROR(FormatTimeSpan(NOW()-LOOKUP(2,1/(F72:ZZ72&lt;&gt;""),F72:ZZ72)),"")</f>
        <v>19天12小时34分37秒</v>
      </c>
      <c r="F72" s="6">
        <v>45876.706273148149</v>
      </c>
      <c r="G72" s="6">
        <v>45877.462256944447</v>
      </c>
      <c r="H72" s="6">
        <v>45878.629699074074</v>
      </c>
      <c r="I72" s="6">
        <v>45881.911307870374</v>
      </c>
      <c r="J72" s="6">
        <v>45889.459988425922</v>
      </c>
      <c r="K72" s="6">
        <v>45905.408831018518</v>
      </c>
    </row>
    <row r="73" spans="1:11" s="8" customFormat="1" x14ac:dyDescent="0.2">
      <c r="A73" s="18"/>
      <c r="B73" s="5" t="b">
        <v>0</v>
      </c>
      <c r="C73" s="14" t="s">
        <v>69</v>
      </c>
      <c r="D73"/>
      <c r="E73" s="28" t="str">
        <f ca="1">IFERROR(FormatTimeSpan(NOW()-LOOKUP(2,1/(F73:ZZ73&lt;&gt;""),F73:ZZ73)),"")</f>
        <v>19天12小时22分7秒</v>
      </c>
      <c r="F73" s="6">
        <v>45876.718819444446</v>
      </c>
      <c r="G73" s="6">
        <v>45877.475219907406</v>
      </c>
      <c r="H73" s="6">
        <v>45878.634826388887</v>
      </c>
      <c r="I73" s="6">
        <v>45881.914930555555</v>
      </c>
      <c r="J73" s="6">
        <v>45889.467916666668</v>
      </c>
      <c r="K73" s="6">
        <v>45905.417511574073</v>
      </c>
    </row>
    <row r="74" spans="1:11" s="8" customFormat="1" x14ac:dyDescent="0.2">
      <c r="A74" s="18"/>
      <c r="B74" s="5" t="b">
        <v>0</v>
      </c>
      <c r="C74" s="14" t="s">
        <v>70</v>
      </c>
      <c r="D74"/>
      <c r="E74" s="28" t="str">
        <f ca="1">IFERROR(FormatTimeSpan(NOW()-LOOKUP(2,1/(F74:ZZ74&lt;&gt;""),F74:ZZ74)),"")</f>
        <v>19天12小时8分15秒</v>
      </c>
      <c r="F74" s="6">
        <v>45876.721342592595</v>
      </c>
      <c r="G74" s="6">
        <v>45877.47965277778</v>
      </c>
      <c r="H74" s="6">
        <v>45878.638553240744</v>
      </c>
      <c r="I74" s="6">
        <v>45881.922025462962</v>
      </c>
      <c r="J74" s="6">
        <v>45889.475613425922</v>
      </c>
      <c r="K74" s="6">
        <v>45905.427141203705</v>
      </c>
    </row>
    <row r="75" spans="1:11" s="8" customFormat="1" x14ac:dyDescent="0.2">
      <c r="A75" s="18"/>
      <c r="B75" s="5" t="b">
        <v>0</v>
      </c>
      <c r="C75" s="14" t="s">
        <v>71</v>
      </c>
      <c r="D75"/>
      <c r="E75" s="28" t="str">
        <f ca="1">IFERROR(FormatTimeSpan(NOW()-LOOKUP(2,1/(F75:ZZ75&lt;&gt;""),F75:ZZ75)),"")</f>
        <v>19天12小时2分30秒</v>
      </c>
      <c r="F75" s="6">
        <v>45876.727372685185</v>
      </c>
      <c r="G75" s="6">
        <v>45877.484085648146</v>
      </c>
      <c r="H75" s="6">
        <v>45878.641967592594</v>
      </c>
      <c r="I75" s="6">
        <v>45881.924687500003</v>
      </c>
      <c r="J75" s="6">
        <v>45889.493321759262</v>
      </c>
      <c r="K75" s="6">
        <v>45905.431134259263</v>
      </c>
    </row>
    <row r="76" spans="1:11" s="8" customFormat="1" x14ac:dyDescent="0.2">
      <c r="A76" s="18"/>
      <c r="B76" s="5" t="b">
        <v>0</v>
      </c>
      <c r="C76" s="14" t="s">
        <v>72</v>
      </c>
      <c r="D76"/>
      <c r="E76" s="28" t="str">
        <f ca="1">IFERROR(FormatTimeSpan(NOW()-LOOKUP(2,1/(F76:ZZ76&lt;&gt;""),F76:ZZ76)),"")</f>
        <v>19天12小时49秒</v>
      </c>
      <c r="F76" s="6">
        <v>45876.730729166666</v>
      </c>
      <c r="G76" s="6">
        <v>45877.485138888886</v>
      </c>
      <c r="H76" s="6">
        <v>45878.643009259256</v>
      </c>
      <c r="I76" s="6">
        <v>45881.925983796296</v>
      </c>
      <c r="J76" s="6">
        <v>45889.493437500001</v>
      </c>
      <c r="K76" s="6">
        <v>45905.432303240741</v>
      </c>
    </row>
    <row r="77" spans="1:11" s="8" customFormat="1" ht="15" customHeight="1" x14ac:dyDescent="0.2">
      <c r="A77" s="18"/>
      <c r="B77" s="5" t="b">
        <v>0</v>
      </c>
      <c r="C77" s="14" t="s">
        <v>90</v>
      </c>
      <c r="D77"/>
      <c r="E77" s="28" t="str">
        <f ca="1">IFERROR(FormatTimeSpan(NOW()-LOOKUP(2,1/(F77:ZZ77&lt;&gt;""),F77:ZZ77)),"")</f>
        <v>14天1小时6分44秒</v>
      </c>
      <c r="F77" s="6">
        <v>45878.670300925929</v>
      </c>
      <c r="G77" s="6">
        <v>45880.415439814817</v>
      </c>
      <c r="H77" s="6">
        <v>45882.364074074074</v>
      </c>
      <c r="I77" s="6">
        <v>45885.652581018519</v>
      </c>
      <c r="J77" s="6">
        <v>45895.459201388891</v>
      </c>
      <c r="K77" s="6">
        <v>45910.88652777778</v>
      </c>
    </row>
    <row r="78" spans="1:11" s="8" customFormat="1" ht="15" customHeight="1" x14ac:dyDescent="0.2">
      <c r="A78" s="18"/>
      <c r="B78" s="5" t="b">
        <v>0</v>
      </c>
      <c r="C78" s="14" t="s">
        <v>75</v>
      </c>
      <c r="D78"/>
      <c r="E78" s="28" t="str">
        <f ca="1">IFERROR(FormatTimeSpan(NOW()-LOOKUP(2,1/(F78:ZZ78&lt;&gt;""),F78:ZZ78)),"")</f>
        <v>14天53分19秒</v>
      </c>
      <c r="F78" s="6">
        <v>45878.672685185185</v>
      </c>
      <c r="G78" s="6">
        <v>45880.426550925928</v>
      </c>
      <c r="H78" s="6">
        <v>45882.366342592592</v>
      </c>
      <c r="I78" s="6">
        <v>45885.654861111114</v>
      </c>
      <c r="J78" s="6">
        <v>45895.460995370369</v>
      </c>
      <c r="K78" s="6">
        <v>45910.895844907405</v>
      </c>
    </row>
    <row r="79" spans="1:11" s="8" customFormat="1" ht="15" customHeight="1" x14ac:dyDescent="0.2">
      <c r="A79" s="18"/>
      <c r="B79" s="5" t="b">
        <v>0</v>
      </c>
      <c r="C79" s="14" t="s">
        <v>76</v>
      </c>
      <c r="D79"/>
      <c r="E79" s="28" t="str">
        <f ca="1">IFERROR(FormatTimeSpan(NOW()-LOOKUP(2,1/(F79:ZZ79&lt;&gt;""),F79:ZZ79)),"")</f>
        <v>14天48分12秒</v>
      </c>
      <c r="F79" s="6">
        <v>45878.674837962964</v>
      </c>
      <c r="G79" s="6">
        <v>45880.428368055553</v>
      </c>
      <c r="H79" s="6">
        <v>45882.368333333332</v>
      </c>
      <c r="I79" s="6">
        <v>45885.658090277779</v>
      </c>
      <c r="J79" s="6">
        <v>45895.465115740742</v>
      </c>
      <c r="K79" s="6">
        <v>45910.899398148147</v>
      </c>
    </row>
    <row r="80" spans="1:11" s="8" customFormat="1" ht="15" customHeight="1" x14ac:dyDescent="0.2">
      <c r="A80" s="18"/>
      <c r="B80" s="5" t="b">
        <v>0</v>
      </c>
      <c r="C80" s="14" t="s">
        <v>83</v>
      </c>
      <c r="D80"/>
      <c r="E80" s="28" t="str">
        <f ca="1">IFERROR(FormatTimeSpan(NOW()-LOOKUP(2,1/(F80:ZZ80&lt;&gt;""),F80:ZZ80)),"")</f>
        <v>14天46分52秒</v>
      </c>
      <c r="F80" s="6">
        <v>45878.676087962966</v>
      </c>
      <c r="G80" s="6">
        <v>45880.430844907409</v>
      </c>
      <c r="H80" s="6">
        <v>45882.371018518519</v>
      </c>
      <c r="I80" s="6">
        <v>45885.658784722225</v>
      </c>
      <c r="J80" s="6">
        <v>45895.466377314813</v>
      </c>
      <c r="K80" s="6">
        <v>45910.900324074071</v>
      </c>
    </row>
    <row r="81" spans="1:11" s="8" customFormat="1" ht="15" customHeight="1" x14ac:dyDescent="0.2">
      <c r="A81" s="18"/>
      <c r="B81" s="5" t="b">
        <v>0</v>
      </c>
      <c r="C81" s="14" t="s">
        <v>77</v>
      </c>
      <c r="D81"/>
      <c r="E81" s="28" t="str">
        <f ca="1">IFERROR(FormatTimeSpan(NOW()-LOOKUP(2,1/(F81:ZZ81&lt;&gt;""),F81:ZZ81)),"")</f>
        <v>14天37分39秒</v>
      </c>
      <c r="F81" s="6">
        <v>45878.678587962961</v>
      </c>
      <c r="G81" s="6">
        <v>45880.432916666665</v>
      </c>
      <c r="H81" s="6">
        <v>45882.374803240738</v>
      </c>
      <c r="I81" s="6">
        <v>45885.660173611112</v>
      </c>
      <c r="J81" s="6">
        <v>45895.468541666669</v>
      </c>
      <c r="K81" s="6">
        <v>45910.906724537039</v>
      </c>
    </row>
    <row r="82" spans="1:11" s="8" customFormat="1" ht="15" customHeight="1" x14ac:dyDescent="0.2">
      <c r="A82" s="18"/>
      <c r="B82" s="5" t="b">
        <v>0</v>
      </c>
      <c r="C82" s="14" t="s">
        <v>78</v>
      </c>
      <c r="D82"/>
      <c r="E82" s="28" t="str">
        <f ca="1">IFERROR(FormatTimeSpan(NOW()-LOOKUP(2,1/(F82:ZZ82&lt;&gt;""),F82:ZZ82)),"")</f>
        <v>14天37分10秒</v>
      </c>
      <c r="F82" s="6">
        <v>45878.678935185184</v>
      </c>
      <c r="G82" s="6">
        <v>45880.433252314811</v>
      </c>
      <c r="H82" s="6">
        <v>45882.374965277777</v>
      </c>
      <c r="I82" s="6">
        <v>45885.66033564815</v>
      </c>
      <c r="J82" s="6">
        <v>45895.468831018516</v>
      </c>
      <c r="K82" s="6">
        <v>45910.907060185185</v>
      </c>
    </row>
    <row r="83" spans="1:11" s="8" customFormat="1" ht="15" customHeight="1" x14ac:dyDescent="0.2">
      <c r="A83" s="18"/>
      <c r="B83" s="5" t="b">
        <v>0</v>
      </c>
      <c r="C83" s="14" t="s">
        <v>79</v>
      </c>
      <c r="D83"/>
      <c r="E83" s="28" t="str">
        <f ca="1">IFERROR(FormatTimeSpan(NOW()-LOOKUP(2,1/(F83:ZZ83&lt;&gt;""),F83:ZZ83)),"")</f>
        <v>14天35分40秒</v>
      </c>
      <c r="F83" s="6">
        <v>45878.679328703707</v>
      </c>
      <c r="G83" s="6">
        <v>45880.433564814812</v>
      </c>
      <c r="H83" s="6">
        <v>45882.375578703701</v>
      </c>
      <c r="I83" s="6">
        <v>45885.661076388889</v>
      </c>
      <c r="J83" s="6">
        <v>45895.469768518517</v>
      </c>
      <c r="K83" s="6">
        <v>45910.908101851855</v>
      </c>
    </row>
    <row r="84" spans="1:11" s="8" customFormat="1" ht="15" customHeight="1" x14ac:dyDescent="0.2">
      <c r="A84" s="18"/>
      <c r="B84" s="5" t="b">
        <v>0</v>
      </c>
      <c r="C84" s="14" t="s">
        <v>80</v>
      </c>
      <c r="D84"/>
      <c r="E84" s="28" t="str">
        <f ca="1">IFERROR(FormatTimeSpan(NOW()-LOOKUP(2,1/(F84:ZZ84&lt;&gt;""),F84:ZZ84)),"")</f>
        <v>14天32分58秒</v>
      </c>
      <c r="F84" s="6">
        <v>45878.679618055554</v>
      </c>
      <c r="G84" s="6">
        <v>45880.433912037035</v>
      </c>
      <c r="H84" s="6">
        <v>45882.375983796293</v>
      </c>
      <c r="I84" s="6">
        <v>45885.66128472222</v>
      </c>
      <c r="J84" s="6">
        <v>45895.470289351855</v>
      </c>
      <c r="K84" s="6">
        <v>45910.90997685185</v>
      </c>
    </row>
    <row r="85" spans="1:11" s="8" customFormat="1" ht="15" customHeight="1" x14ac:dyDescent="0.2">
      <c r="A85" s="18"/>
      <c r="B85" s="5" t="b">
        <v>0</v>
      </c>
      <c r="C85" s="14" t="s">
        <v>81</v>
      </c>
      <c r="D85"/>
      <c r="E85" s="28" t="str">
        <f ca="1">IFERROR(FormatTimeSpan(NOW()-LOOKUP(2,1/(F85:ZZ85&lt;&gt;""),F85:ZZ85)),"")</f>
        <v>14天31分56秒</v>
      </c>
      <c r="F85" s="6">
        <v>45878.680081018516</v>
      </c>
      <c r="G85" s="6">
        <v>45880.434629629628</v>
      </c>
      <c r="H85" s="6">
        <v>45882.37667824074</v>
      </c>
      <c r="I85" s="6">
        <v>45885.661874999998</v>
      </c>
      <c r="J85" s="6">
        <v>45895.472199074073</v>
      </c>
      <c r="K85" s="6">
        <v>45910.910694444443</v>
      </c>
    </row>
    <row r="86" spans="1:11" s="8" customFormat="1" ht="15" customHeight="1" x14ac:dyDescent="0.2">
      <c r="A86" s="18"/>
      <c r="B86" s="5" t="b">
        <v>0</v>
      </c>
      <c r="C86" s="14" t="s">
        <v>82</v>
      </c>
      <c r="D86"/>
      <c r="E86" s="28" t="str">
        <f ca="1">IFERROR(FormatTimeSpan(NOW()-LOOKUP(2,1/(F86:ZZ86&lt;&gt;""),F86:ZZ86)),"")</f>
        <v>14天31分20秒</v>
      </c>
      <c r="F86" s="6">
        <v>45878.680312500001</v>
      </c>
      <c r="G86" s="6">
        <v>45880.434895833336</v>
      </c>
      <c r="H86" s="6">
        <v>45882.377476851849</v>
      </c>
      <c r="I86" s="6">
        <v>45885.663287037038</v>
      </c>
      <c r="J86" s="6">
        <v>45895.47246527778</v>
      </c>
      <c r="K86" s="6">
        <v>45910.911111111112</v>
      </c>
    </row>
    <row r="87" spans="1:11" s="8" customFormat="1" x14ac:dyDescent="0.2">
      <c r="A87" s="18"/>
      <c r="B87" s="5" t="b">
        <v>0</v>
      </c>
      <c r="C87" s="14" t="s">
        <v>88</v>
      </c>
      <c r="D87"/>
      <c r="E87" s="28" t="str">
        <f ca="1">IFERROR(FormatTimeSpan(NOW()-LOOKUP(2,1/(F87:ZZ87&lt;&gt;""),F87:ZZ87)),"")</f>
        <v>13天12小时50分47秒</v>
      </c>
      <c r="F87" s="6">
        <v>45878.727997685186</v>
      </c>
      <c r="G87" s="6">
        <v>45880.438090277778</v>
      </c>
      <c r="H87" s="6">
        <v>45882.392627314817</v>
      </c>
      <c r="I87" s="6">
        <v>45885.673217592594</v>
      </c>
      <c r="J87" s="6">
        <v>45895.622928240744</v>
      </c>
      <c r="K87" s="6">
        <v>45911.397604166668</v>
      </c>
    </row>
    <row r="88" spans="1:11" s="8" customFormat="1" x14ac:dyDescent="0.2">
      <c r="A88" s="18"/>
      <c r="B88" s="5" t="b">
        <v>0</v>
      </c>
      <c r="C88" s="14" t="s">
        <v>89</v>
      </c>
      <c r="D88"/>
      <c r="E88" s="28" t="str">
        <f ca="1">IFERROR(FormatTimeSpan(NOW()-LOOKUP(2,1/(F88:ZZ88&lt;&gt;""),F88:ZZ88)),"")</f>
        <v>13天12小时38分55秒</v>
      </c>
      <c r="F88" s="6">
        <v>45878.734375</v>
      </c>
      <c r="G88" s="6">
        <v>45880.442129629628</v>
      </c>
      <c r="H88" s="6">
        <v>45882.399652777778</v>
      </c>
      <c r="I88" s="6">
        <v>45885.674560185187</v>
      </c>
      <c r="J88" s="6">
        <v>45895.626979166664</v>
      </c>
      <c r="K88" s="6">
        <v>45911.405844907407</v>
      </c>
    </row>
    <row r="89" spans="1:11" s="8" customFormat="1" x14ac:dyDescent="0.2">
      <c r="A89" s="18"/>
      <c r="B89" s="5" t="b">
        <v>0</v>
      </c>
      <c r="C89" s="14" t="s">
        <v>84</v>
      </c>
      <c r="D89"/>
      <c r="E89" s="28" t="str">
        <f ca="1">IFERROR(FormatTimeSpan(NOW()-LOOKUP(2,1/(F89:ZZ89&lt;&gt;""),F89:ZZ89)),"")</f>
        <v>13天12小时36分41秒</v>
      </c>
      <c r="F89" s="6">
        <v>45878.751469907409</v>
      </c>
      <c r="G89" s="6">
        <v>45880.44263888889</v>
      </c>
      <c r="H89" s="6">
        <v>45882.399872685186</v>
      </c>
      <c r="I89" s="6">
        <v>45885.675312500003</v>
      </c>
      <c r="J89" s="6">
        <v>45895.634618055556</v>
      </c>
      <c r="K89" s="6">
        <v>45911.407395833332</v>
      </c>
    </row>
    <row r="90" spans="1:11" s="8" customFormat="1" x14ac:dyDescent="0.2">
      <c r="A90" s="18"/>
      <c r="B90" s="5" t="b">
        <v>0</v>
      </c>
      <c r="C90" s="14" t="s">
        <v>85</v>
      </c>
      <c r="D90"/>
      <c r="E90" s="28" t="str">
        <f ca="1">IFERROR(FormatTimeSpan(NOW()-LOOKUP(2,1/(F90:ZZ90&lt;&gt;""),F90:ZZ90)),"")</f>
        <v>13天12小时26分34秒</v>
      </c>
      <c r="F90" s="6">
        <v>45878.754560185182</v>
      </c>
      <c r="G90" s="6">
        <v>45880.445844907408</v>
      </c>
      <c r="H90" s="6">
        <v>45882.402384259258</v>
      </c>
      <c r="I90" s="6">
        <v>45885.681134259263</v>
      </c>
      <c r="J90" s="6">
        <v>45895.64875</v>
      </c>
      <c r="K90" s="6">
        <v>45911.414421296293</v>
      </c>
    </row>
    <row r="91" spans="1:11" s="8" customFormat="1" x14ac:dyDescent="0.2">
      <c r="A91" s="18"/>
      <c r="B91" s="5" t="b">
        <v>0</v>
      </c>
      <c r="C91" s="14" t="s">
        <v>86</v>
      </c>
      <c r="D91"/>
      <c r="E91" s="28" t="str">
        <f ca="1">IFERROR(FormatTimeSpan(NOW()-LOOKUP(2,1/(F91:ZZ91&lt;&gt;""),F91:ZZ91)),"")</f>
        <v>13天12小时22分1秒</v>
      </c>
      <c r="F91" s="6">
        <v>45878.755694444444</v>
      </c>
      <c r="G91" s="6">
        <v>45880.447488425925</v>
      </c>
      <c r="H91" s="6">
        <v>45882.404641203706</v>
      </c>
      <c r="I91" s="6">
        <v>45885.68240740741</v>
      </c>
      <c r="J91" s="6">
        <v>45895.651747685188</v>
      </c>
      <c r="K91" s="6">
        <v>45911.417581018519</v>
      </c>
    </row>
    <row r="92" spans="1:11" s="8" customFormat="1" x14ac:dyDescent="0.2">
      <c r="A92" s="18"/>
      <c r="B92" s="5" t="b">
        <v>0</v>
      </c>
      <c r="C92" s="14" t="s">
        <v>87</v>
      </c>
      <c r="D92"/>
      <c r="E92" s="28" t="str">
        <f ca="1">IFERROR(FormatTimeSpan(NOW()-LOOKUP(2,1/(F92:ZZ92&lt;&gt;""),F92:ZZ92)),"")</f>
        <v>13天12小时19分29秒</v>
      </c>
      <c r="F92" s="6">
        <v>45878.756064814814</v>
      </c>
      <c r="G92" s="6">
        <v>45880.447766203702</v>
      </c>
      <c r="H92" s="6">
        <v>45882.404988425929</v>
      </c>
      <c r="I92" s="6">
        <v>45885.682766203703</v>
      </c>
      <c r="J92" s="6">
        <v>45895.651956018519</v>
      </c>
      <c r="K92" s="6">
        <v>45911.419340277775</v>
      </c>
    </row>
    <row r="93" spans="1:11" s="8" customFormat="1" x14ac:dyDescent="0.2">
      <c r="A93" s="18"/>
      <c r="B93" s="5" t="b">
        <v>0</v>
      </c>
      <c r="C93" s="14" t="s">
        <v>91</v>
      </c>
      <c r="D93"/>
      <c r="E93" s="28" t="str">
        <f ca="1">IFERROR(FormatTimeSpan(NOW()-LOOKUP(2,1/(F93:ZZ93&lt;&gt;""),F93:ZZ93)),"")</f>
        <v>13天12小时14分26秒</v>
      </c>
      <c r="F93" s="6">
        <v>45882.697939814818</v>
      </c>
      <c r="G93" s="6">
        <v>45883.373703703706</v>
      </c>
      <c r="H93" s="6">
        <v>45884.430856481478</v>
      </c>
      <c r="I93" s="6">
        <v>45887.614699074074</v>
      </c>
      <c r="J93" s="6">
        <v>45895.663761574076</v>
      </c>
      <c r="K93" s="6">
        <v>45911.422847222224</v>
      </c>
    </row>
    <row r="94" spans="1:11" s="8" customFormat="1" x14ac:dyDescent="0.2">
      <c r="A94" s="18"/>
      <c r="B94" s="5" t="b">
        <v>0</v>
      </c>
      <c r="C94" s="14" t="s">
        <v>92</v>
      </c>
      <c r="D94"/>
      <c r="E94" s="28" t="str">
        <f ca="1">IFERROR(FormatTimeSpan(NOW()-LOOKUP(2,1/(F94:ZZ94&lt;&gt;""),F94:ZZ94)),"")</f>
        <v>13天12小时12分60秒</v>
      </c>
      <c r="F94" s="6">
        <v>45882.701122685183</v>
      </c>
      <c r="G94" s="6">
        <v>45883.374988425923</v>
      </c>
      <c r="H94" s="6">
        <v>45884.43304398148</v>
      </c>
      <c r="I94" s="6">
        <v>45887.616597222222</v>
      </c>
      <c r="J94" s="6">
        <v>45895.671875</v>
      </c>
      <c r="K94" s="6">
        <v>45911.423842592594</v>
      </c>
    </row>
    <row r="95" spans="1:11" s="8" customFormat="1" x14ac:dyDescent="0.2">
      <c r="A95" s="18"/>
      <c r="B95" s="5" t="b">
        <v>0</v>
      </c>
      <c r="C95" s="14" t="s">
        <v>93</v>
      </c>
      <c r="D95"/>
      <c r="E95" s="28" t="str">
        <f ca="1">IFERROR(FormatTimeSpan(NOW()-LOOKUP(2,1/(F95:ZZ95&lt;&gt;""),F95:ZZ95)),"")</f>
        <v>13天12小时3分19秒</v>
      </c>
      <c r="F95" s="6">
        <v>45882.703761574077</v>
      </c>
      <c r="G95" s="6">
        <v>45883.381597222222</v>
      </c>
      <c r="H95" s="6">
        <v>45884.435231481482</v>
      </c>
      <c r="I95" s="6">
        <v>45887.618784722225</v>
      </c>
      <c r="J95" s="6">
        <v>45895.684467592589</v>
      </c>
      <c r="K95" s="6">
        <v>45911.430567129632</v>
      </c>
    </row>
    <row r="96" spans="1:11" s="8" customFormat="1" x14ac:dyDescent="0.2">
      <c r="A96" s="18"/>
      <c r="B96" s="5" t="b">
        <v>0</v>
      </c>
      <c r="C96" s="14" t="s">
        <v>94</v>
      </c>
      <c r="D96"/>
      <c r="E96" s="28" t="str">
        <f ca="1">IFERROR(FormatTimeSpan(NOW()-LOOKUP(2,1/(F96:ZZ96&lt;&gt;""),F96:ZZ96)),"")</f>
        <v>13天12小时1分30秒</v>
      </c>
      <c r="F96" s="6">
        <v>45882.704606481479</v>
      </c>
      <c r="G96" s="6">
        <v>45883.384166666663</v>
      </c>
      <c r="H96" s="6">
        <v>45884.438645833332</v>
      </c>
      <c r="I96" s="6">
        <v>45887.61954861111</v>
      </c>
      <c r="J96" s="6">
        <v>45895.685034722221</v>
      </c>
      <c r="K96" s="6">
        <v>45911.431828703702</v>
      </c>
    </row>
    <row r="97" spans="1:11" s="8" customFormat="1" x14ac:dyDescent="0.2">
      <c r="A97" s="18"/>
      <c r="B97" s="5" t="b">
        <v>0</v>
      </c>
      <c r="C97" s="14" t="s">
        <v>95</v>
      </c>
      <c r="D97"/>
      <c r="E97" s="28" t="str">
        <f ca="1">IFERROR(FormatTimeSpan(NOW()-LOOKUP(2,1/(F97:ZZ97&lt;&gt;""),F97:ZZ97)),"")</f>
        <v>13天12小时52秒</v>
      </c>
      <c r="F97" s="6">
        <v>45882.705833333333</v>
      </c>
      <c r="G97" s="6">
        <v>45883.385335648149</v>
      </c>
      <c r="H97" s="6">
        <v>45884.439143518517</v>
      </c>
      <c r="I97" s="6">
        <v>45887.62054398148</v>
      </c>
      <c r="J97" s="6">
        <v>45895.685428240744</v>
      </c>
      <c r="K97" s="6">
        <v>45911.432268518518</v>
      </c>
    </row>
    <row r="98" spans="1:11" s="8" customFormat="1" x14ac:dyDescent="0.2">
      <c r="A98" s="18"/>
      <c r="B98" s="5" t="b">
        <v>0</v>
      </c>
      <c r="C98" s="14" t="s">
        <v>260</v>
      </c>
      <c r="D98"/>
      <c r="E98" s="28" t="str">
        <f ca="1">IFERROR(FormatTimeSpan(NOW()-LOOKUP(2,1/(F98:ZZ98&lt;&gt;""),F98:ZZ98)),"")</f>
        <v>13天11小时59分38秒</v>
      </c>
      <c r="F98" s="6">
        <v>45882.706226851849</v>
      </c>
      <c r="G98" s="6">
        <v>45883.386192129627</v>
      </c>
      <c r="H98" s="6">
        <v>45884.439456018517</v>
      </c>
      <c r="I98" s="6">
        <v>45887.620925925927</v>
      </c>
      <c r="J98" s="6">
        <v>45895.685914351852</v>
      </c>
      <c r="K98" s="6">
        <v>45911.433125000003</v>
      </c>
    </row>
    <row r="99" spans="1:11" s="8" customFormat="1" x14ac:dyDescent="0.2">
      <c r="A99" s="18"/>
      <c r="B99" s="5" t="b">
        <v>0</v>
      </c>
      <c r="C99" s="14" t="s">
        <v>96</v>
      </c>
      <c r="D99"/>
      <c r="E99" s="28" t="str">
        <f ca="1">IFERROR(FormatTimeSpan(NOW()-LOOKUP(2,1/(F99:ZZ99&lt;&gt;""),F99:ZZ99)),"")</f>
        <v>13天11小时58分39秒</v>
      </c>
      <c r="F99" s="6">
        <v>45882.707083333335</v>
      </c>
      <c r="G99" s="6">
        <v>45883.386759259258</v>
      </c>
      <c r="H99" s="6">
        <v>45884.439884259256</v>
      </c>
      <c r="I99" s="6">
        <v>45887.621516203704</v>
      </c>
      <c r="J99" s="6">
        <v>45895.686874999999</v>
      </c>
      <c r="K99" s="6">
        <v>45911.433807870373</v>
      </c>
    </row>
    <row r="100" spans="1:11" s="8" customFormat="1" x14ac:dyDescent="0.2">
      <c r="A100" s="18"/>
      <c r="B100" s="5" t="b">
        <v>0</v>
      </c>
      <c r="C100" s="14" t="s">
        <v>97</v>
      </c>
      <c r="D100"/>
      <c r="E100" s="29" t="str">
        <f>IFERROR(FormatTimeSpan(Z$1-LOOKUP(2,1/(F100:ZZ100&lt;&gt;""),F100:ZZ100)),"")</f>
        <v>3个月19天13小时34分46秒</v>
      </c>
      <c r="F100" s="6">
        <v>45882.707986111112</v>
      </c>
      <c r="G100" s="6">
        <v>45883.387152777781</v>
      </c>
      <c r="H100" s="6">
        <v>45884.440428240741</v>
      </c>
      <c r="I100" s="6">
        <v>45887.621701388889</v>
      </c>
      <c r="J100" s="6">
        <v>45895.68712962963</v>
      </c>
      <c r="K100" s="6">
        <v>45911.434189814812</v>
      </c>
    </row>
    <row r="101" spans="1:11" s="8" customFormat="1" x14ac:dyDescent="0.2">
      <c r="A101" s="18"/>
      <c r="B101" s="5" t="b">
        <v>0</v>
      </c>
      <c r="C101" s="14" t="s">
        <v>98</v>
      </c>
      <c r="D101"/>
      <c r="E101" s="28" t="str">
        <f ca="1">IFERROR(FormatTimeSpan(NOW()-LOOKUP(2,1/(F101:ZZ101&lt;&gt;""),F101:ZZ101)),"")</f>
        <v>11天10小时57分4秒</v>
      </c>
      <c r="F101" s="6">
        <v>45883.403807870367</v>
      </c>
      <c r="G101" s="6">
        <v>45884.440682870372</v>
      </c>
      <c r="H101" s="6">
        <v>45885.683159722219</v>
      </c>
      <c r="I101" s="6">
        <v>45889.678611111114</v>
      </c>
      <c r="J101" s="6">
        <v>45897.371979166666</v>
      </c>
      <c r="K101" s="6">
        <v>45913.476574074077</v>
      </c>
    </row>
    <row r="102" spans="1:11" s="8" customFormat="1" x14ac:dyDescent="0.2">
      <c r="A102" s="18"/>
      <c r="B102" s="5" t="b">
        <v>0</v>
      </c>
      <c r="C102" s="14" t="s">
        <v>99</v>
      </c>
      <c r="D102"/>
      <c r="E102" s="28" t="str">
        <f ca="1">IFERROR(FormatTimeSpan(NOW()-LOOKUP(2,1/(F102:ZZ102&lt;&gt;""),F102:ZZ102)),"")</f>
        <v>11天10小时52分14秒</v>
      </c>
      <c r="F102" s="6">
        <v>45883.406458333331</v>
      </c>
      <c r="G102" s="6">
        <v>45884.443090277775</v>
      </c>
      <c r="H102" s="6">
        <v>45885.686331018522</v>
      </c>
      <c r="I102" s="6">
        <v>45889.681006944447</v>
      </c>
      <c r="J102" s="6">
        <v>45897.375034722223</v>
      </c>
      <c r="K102" s="6">
        <v>45913.479930555557</v>
      </c>
    </row>
    <row r="103" spans="1:11" s="8" customFormat="1" x14ac:dyDescent="0.2">
      <c r="A103" s="18"/>
      <c r="B103" s="5" t="b">
        <v>0</v>
      </c>
      <c r="C103" s="14" t="s">
        <v>100</v>
      </c>
      <c r="D103"/>
      <c r="E103" s="28" t="str">
        <f ca="1">IFERROR(FormatTimeSpan(NOW()-LOOKUP(2,1/(F103:ZZ103&lt;&gt;""),F103:ZZ103)),"")</f>
        <v>11天10小时50分58秒</v>
      </c>
      <c r="F103" s="6">
        <v>45883.40730324074</v>
      </c>
      <c r="G103" s="6">
        <v>45884.443611111114</v>
      </c>
      <c r="H103" s="6">
        <v>45885.687083333331</v>
      </c>
      <c r="I103" s="6">
        <v>45889.682175925926</v>
      </c>
      <c r="J103" s="6">
        <v>45897.375972222224</v>
      </c>
      <c r="K103" s="6">
        <v>45913.480810185189</v>
      </c>
    </row>
    <row r="104" spans="1:11" s="8" customFormat="1" x14ac:dyDescent="0.2">
      <c r="A104" s="18"/>
      <c r="B104" s="5" t="b">
        <v>0</v>
      </c>
      <c r="C104" s="14" t="s">
        <v>101</v>
      </c>
      <c r="D104"/>
      <c r="E104" s="28" t="str">
        <f ca="1">IFERROR(FormatTimeSpan(NOW()-LOOKUP(2,1/(F104:ZZ104&lt;&gt;""),F104:ZZ104)),"")</f>
        <v>11天10小时49分10秒</v>
      </c>
      <c r="F104" s="6">
        <v>45883.408460648148</v>
      </c>
      <c r="G104" s="6">
        <v>45884.444895833331</v>
      </c>
      <c r="H104" s="6">
        <v>45885.688587962963</v>
      </c>
      <c r="I104" s="6">
        <v>45889.683576388888</v>
      </c>
      <c r="J104" s="6">
        <v>45897.377233796295</v>
      </c>
      <c r="K104" s="6">
        <v>45913.482060185182</v>
      </c>
    </row>
    <row r="105" spans="1:11" s="8" customFormat="1" x14ac:dyDescent="0.2">
      <c r="A105" s="18"/>
      <c r="B105" s="5" t="b">
        <v>0</v>
      </c>
      <c r="C105" s="14" t="s">
        <v>102</v>
      </c>
      <c r="D105"/>
      <c r="E105" s="28" t="str">
        <f ca="1">IFERROR(FormatTimeSpan(NOW()-LOOKUP(2,1/(F105:ZZ105&lt;&gt;""),F105:ZZ105)),"")</f>
        <v>11天10小时47分24秒</v>
      </c>
      <c r="F105" s="6">
        <v>45883.409016203703</v>
      </c>
      <c r="G105" s="6">
        <v>45884.446099537039</v>
      </c>
      <c r="H105" s="6">
        <v>45885.689328703702</v>
      </c>
      <c r="I105" s="6">
        <v>45889.684467592589</v>
      </c>
      <c r="J105" s="6">
        <v>45897.378472222219</v>
      </c>
      <c r="K105" s="6">
        <v>45913.483287037037</v>
      </c>
    </row>
    <row r="106" spans="1:11" s="8" customFormat="1" x14ac:dyDescent="0.2">
      <c r="A106" s="18"/>
      <c r="B106" s="5" t="b">
        <v>0</v>
      </c>
      <c r="C106" s="14" t="s">
        <v>103</v>
      </c>
      <c r="D106"/>
      <c r="E106" s="28" t="str">
        <f ca="1">IFERROR(FormatTimeSpan(NOW()-LOOKUP(2,1/(F106:ZZ106&lt;&gt;""),F106:ZZ106)),"")</f>
        <v>11天10小时45分37秒</v>
      </c>
      <c r="F106" s="6">
        <v>45883.409699074073</v>
      </c>
      <c r="G106" s="6">
        <v>45884.446481481478</v>
      </c>
      <c r="H106" s="6">
        <v>45885.690162037034</v>
      </c>
      <c r="I106" s="6">
        <v>45889.685023148151</v>
      </c>
      <c r="J106" s="6">
        <v>45897.37909722222</v>
      </c>
      <c r="K106" s="6">
        <v>45913.484525462962</v>
      </c>
    </row>
    <row r="107" spans="1:11" s="8" customFormat="1" x14ac:dyDescent="0.2">
      <c r="A107" s="18"/>
      <c r="B107" s="5" t="b">
        <v>0</v>
      </c>
      <c r="C107" s="14" t="s">
        <v>104</v>
      </c>
      <c r="D107"/>
      <c r="E107" s="28" t="str">
        <f ca="1">IFERROR(FormatTimeSpan(NOW()-LOOKUP(2,1/(F107:ZZ107&lt;&gt;""),F107:ZZ107)),"")</f>
        <v>8天12小时11分3秒</v>
      </c>
      <c r="F107" s="6">
        <v>45885.442511574074</v>
      </c>
      <c r="G107" s="6">
        <v>45887.412233796298</v>
      </c>
      <c r="H107" s="6">
        <v>45888.45417824074</v>
      </c>
      <c r="I107" s="6">
        <v>45891.680173611108</v>
      </c>
      <c r="J107" s="6">
        <v>45899.417743055557</v>
      </c>
      <c r="K107" s="6">
        <v>45916.425196759257</v>
      </c>
    </row>
    <row r="108" spans="1:11" s="8" customFormat="1" x14ac:dyDescent="0.2">
      <c r="A108" s="18"/>
      <c r="B108" s="5" t="b">
        <v>0</v>
      </c>
      <c r="C108" s="14" t="s">
        <v>105</v>
      </c>
      <c r="D108"/>
      <c r="E108" s="28" t="str">
        <f ca="1">IFERROR(FormatTimeSpan(NOW()-LOOKUP(2,1/(F108:ZZ108&lt;&gt;""),F108:ZZ108)),"")</f>
        <v>8天12小时9分41秒</v>
      </c>
      <c r="F108" s="6">
        <v>45885.443738425929</v>
      </c>
      <c r="G108" s="6">
        <v>45887.414351851854</v>
      </c>
      <c r="H108" s="6">
        <v>45888.455636574072</v>
      </c>
      <c r="I108" s="6">
        <v>45891.680532407408</v>
      </c>
      <c r="J108" s="6">
        <v>45899.418310185189</v>
      </c>
      <c r="K108" s="6">
        <v>45916.426145833335</v>
      </c>
    </row>
    <row r="109" spans="1:11" s="8" customFormat="1" x14ac:dyDescent="0.2">
      <c r="A109" s="18"/>
      <c r="B109" s="5" t="b">
        <v>0</v>
      </c>
      <c r="C109" s="14" t="s">
        <v>106</v>
      </c>
      <c r="D109"/>
      <c r="E109" s="28" t="str">
        <f ca="1">IFERROR(FormatTimeSpan(NOW()-LOOKUP(2,1/(F109:ZZ109&lt;&gt;""),F109:ZZ109)),"")</f>
        <v>8天12小时8分60秒</v>
      </c>
      <c r="F109" s="6">
        <v>45885.444803240738</v>
      </c>
      <c r="G109" s="6">
        <v>45887.415821759256</v>
      </c>
      <c r="H109" s="6">
        <v>45888.45621527778</v>
      </c>
      <c r="I109" s="6">
        <v>45891.681354166663</v>
      </c>
      <c r="J109" s="6">
        <v>45899.419120370374</v>
      </c>
      <c r="K109" s="6">
        <v>45916.426620370374</v>
      </c>
    </row>
    <row r="110" spans="1:11" s="8" customFormat="1" x14ac:dyDescent="0.2">
      <c r="A110" s="18"/>
      <c r="B110" s="5" t="b">
        <v>0</v>
      </c>
      <c r="C110" s="14" t="s">
        <v>368</v>
      </c>
      <c r="D110"/>
      <c r="E110" s="28" t="str">
        <f ca="1">IFERROR(FormatTimeSpan(NOW()-LOOKUP(2,1/(F110:ZZ110&lt;&gt;""),F110:ZZ110)),"")</f>
        <v>8天12小时4分15秒</v>
      </c>
      <c r="F110" s="6">
        <v>45885.447118055556</v>
      </c>
      <c r="G110" s="6">
        <v>45887.426990740743</v>
      </c>
      <c r="H110" s="6">
        <v>45888.458009259259</v>
      </c>
      <c r="I110" s="6">
        <v>45891.682581018518</v>
      </c>
      <c r="J110" s="6">
        <v>45899.423668981479</v>
      </c>
      <c r="K110" s="6">
        <v>45916.429918981485</v>
      </c>
    </row>
    <row r="111" spans="1:11" s="8" customFormat="1" x14ac:dyDescent="0.2">
      <c r="A111" s="18"/>
      <c r="B111" s="5" t="b">
        <v>0</v>
      </c>
      <c r="C111" s="14" t="s">
        <v>107</v>
      </c>
      <c r="D111"/>
      <c r="E111" s="28" t="str">
        <f ca="1">IFERROR(FormatTimeSpan(NOW()-LOOKUP(2,1/(F111:ZZ111&lt;&gt;""),F111:ZZ111)),"")</f>
        <v>8天11小时57分39秒</v>
      </c>
      <c r="F111" s="6">
        <v>45885.448101851849</v>
      </c>
      <c r="G111" s="6">
        <v>45887.429490740738</v>
      </c>
      <c r="H111" s="6">
        <v>45888.459837962961</v>
      </c>
      <c r="I111" s="6">
        <v>45891.683900462966</v>
      </c>
      <c r="J111" s="6">
        <v>45899.42863425926</v>
      </c>
      <c r="K111" s="6">
        <v>45916.434502314813</v>
      </c>
    </row>
    <row r="112" spans="1:11" s="8" customFormat="1" x14ac:dyDescent="0.2">
      <c r="A112" s="18"/>
      <c r="B112" s="5" t="b">
        <v>0</v>
      </c>
      <c r="C112" s="14" t="s">
        <v>369</v>
      </c>
      <c r="D112"/>
      <c r="E112" s="28" t="str">
        <f ca="1">IFERROR(FormatTimeSpan(NOW()-LOOKUP(2,1/(F112:ZZ112&lt;&gt;""),F112:ZZ112)),"")</f>
        <v>8天11小时54分35秒</v>
      </c>
      <c r="F112" s="6">
        <v>45885.449490740742</v>
      </c>
      <c r="G112" s="6">
        <v>45887.429930555554</v>
      </c>
      <c r="H112" s="6">
        <v>45888.466643518521</v>
      </c>
      <c r="I112" s="6">
        <v>45891.687476851854</v>
      </c>
      <c r="J112" s="6">
        <v>45899.429212962961</v>
      </c>
      <c r="K112" s="6">
        <v>45916.436631944445</v>
      </c>
    </row>
    <row r="113" spans="1:11" s="8" customFormat="1" x14ac:dyDescent="0.2">
      <c r="A113" s="18"/>
      <c r="B113" s="5" t="b">
        <v>0</v>
      </c>
      <c r="C113" s="14" t="s">
        <v>108</v>
      </c>
      <c r="D113"/>
      <c r="E113" s="28" t="str">
        <f ca="1">IFERROR(FormatTimeSpan(NOW()-LOOKUP(2,1/(F113:ZZ113&lt;&gt;""),F113:ZZ113)),"")</f>
        <v>8天11小时8分38秒</v>
      </c>
      <c r="F113" s="6">
        <v>45885.45144675926</v>
      </c>
      <c r="G113" s="6">
        <v>45887.43240740741</v>
      </c>
      <c r="H113" s="6">
        <v>45888.46769675926</v>
      </c>
      <c r="I113" s="6">
        <v>45891.688310185185</v>
      </c>
      <c r="J113" s="6">
        <v>45899.430798611109</v>
      </c>
      <c r="K113" s="6">
        <v>45916.468541666669</v>
      </c>
    </row>
    <row r="114" spans="1:11" s="8" customFormat="1" x14ac:dyDescent="0.2">
      <c r="A114" s="18"/>
      <c r="B114" s="5" t="b">
        <v>0</v>
      </c>
      <c r="C114" s="14" t="s">
        <v>109</v>
      </c>
      <c r="D114"/>
      <c r="E114" s="28" t="str">
        <f ca="1">IFERROR(FormatTimeSpan(NOW()-LOOKUP(2,1/(F114:ZZ114&lt;&gt;""),F114:ZZ114)),"")</f>
        <v>8天11小时3分53秒</v>
      </c>
      <c r="F114" s="6">
        <v>45885.452002314814</v>
      </c>
      <c r="G114" s="6">
        <v>45887.435254629629</v>
      </c>
      <c r="H114" s="6">
        <v>45888.46837962963</v>
      </c>
      <c r="I114" s="6">
        <v>45891.689803240741</v>
      </c>
      <c r="J114" s="6">
        <v>45899.431226851855</v>
      </c>
      <c r="K114" s="6">
        <v>45916.47184027778</v>
      </c>
    </row>
    <row r="115" spans="1:11" s="8" customFormat="1" x14ac:dyDescent="0.2">
      <c r="A115" s="18"/>
      <c r="B115" s="5" t="b">
        <v>0</v>
      </c>
      <c r="C115" s="14" t="s">
        <v>110</v>
      </c>
      <c r="D115"/>
      <c r="E115" s="28" t="str">
        <f ca="1">IFERROR(FormatTimeSpan(NOW()-LOOKUP(2,1/(F115:ZZ115&lt;&gt;""),F115:ZZ115)),"")</f>
        <v>8天10小时56分28秒</v>
      </c>
      <c r="F115" s="6">
        <v>45885.453217592592</v>
      </c>
      <c r="G115" s="6">
        <v>45887.436099537037</v>
      </c>
      <c r="H115" s="6">
        <v>45888.469247685185</v>
      </c>
      <c r="I115" s="6">
        <v>45891.690949074073</v>
      </c>
      <c r="J115" s="6">
        <v>45899.432719907411</v>
      </c>
      <c r="K115" s="6">
        <v>45916.476990740739</v>
      </c>
    </row>
    <row r="116" spans="1:11" s="8" customFormat="1" x14ac:dyDescent="0.2">
      <c r="A116" s="18"/>
      <c r="B116" s="5" t="b">
        <v>0</v>
      </c>
      <c r="C116" s="14" t="s">
        <v>111</v>
      </c>
      <c r="D116"/>
      <c r="E116" s="28" t="str">
        <f ca="1">IFERROR(FormatTimeSpan(NOW()-LOOKUP(2,1/(F116:ZZ116&lt;&gt;""),F116:ZZ116)),"")</f>
        <v>8天10小时54分31秒</v>
      </c>
      <c r="F116" s="6">
        <v>45885.453541666669</v>
      </c>
      <c r="G116" s="6">
        <v>45887.438067129631</v>
      </c>
      <c r="H116" s="6">
        <v>45888.471400462964</v>
      </c>
      <c r="I116" s="6">
        <v>45891.692835648151</v>
      </c>
      <c r="J116" s="6">
        <v>45899.433125000003</v>
      </c>
      <c r="K116" s="6">
        <v>45916.478344907409</v>
      </c>
    </row>
    <row r="117" spans="1:11" s="8" customFormat="1" x14ac:dyDescent="0.2">
      <c r="A117" s="18"/>
      <c r="B117" s="5" t="b">
        <v>0</v>
      </c>
      <c r="C117" s="14" t="s">
        <v>112</v>
      </c>
      <c r="D117"/>
      <c r="E117" s="28" t="str">
        <f ca="1">IFERROR(FormatTimeSpan(NOW()-LOOKUP(2,1/(F117:ZZ117&lt;&gt;""),F117:ZZ117)),"")</f>
        <v>8天9小时36分9秒</v>
      </c>
      <c r="F117" s="6">
        <v>45885.457268518519</v>
      </c>
      <c r="G117" s="6">
        <v>45887.447442129633</v>
      </c>
      <c r="H117" s="6">
        <v>45888.47415509259</v>
      </c>
      <c r="I117" s="6">
        <v>45891.697280092594</v>
      </c>
      <c r="J117" s="6">
        <v>45899.440289351849</v>
      </c>
      <c r="K117" s="6">
        <v>45916.532766203702</v>
      </c>
    </row>
    <row r="118" spans="1:11" s="8" customFormat="1" x14ac:dyDescent="0.2">
      <c r="A118" s="18"/>
      <c r="B118" s="5" t="b">
        <v>0</v>
      </c>
      <c r="C118" s="14" t="s">
        <v>116</v>
      </c>
      <c r="D118"/>
      <c r="E118" s="28" t="str">
        <f ca="1">IFERROR(FormatTimeSpan(NOW()-LOOKUP(2,1/(F118:ZZ118&lt;&gt;""),F118:ZZ118)),"")</f>
        <v>8天7小时38分27秒</v>
      </c>
      <c r="F118" s="6">
        <v>45885.464803240742</v>
      </c>
      <c r="G118" s="6">
        <v>45887.455891203703</v>
      </c>
      <c r="H118" s="6">
        <v>45888.487986111111</v>
      </c>
      <c r="I118" s="6">
        <v>45891.720868055556</v>
      </c>
      <c r="J118" s="6">
        <v>45899.441793981481</v>
      </c>
      <c r="K118" s="6">
        <v>45916.614502314813</v>
      </c>
    </row>
    <row r="119" spans="1:11" s="8" customFormat="1" x14ac:dyDescent="0.2">
      <c r="A119" s="18"/>
      <c r="B119" s="5" t="b">
        <v>0</v>
      </c>
      <c r="C119" s="14" t="s">
        <v>113</v>
      </c>
      <c r="D119"/>
      <c r="E119" s="28" t="str">
        <f ca="1">IFERROR(FormatTimeSpan(NOW()-LOOKUP(2,1/(F119:ZZ119&lt;&gt;""),F119:ZZ119)),"")</f>
        <v>8天7小时22分58秒</v>
      </c>
      <c r="F119" s="6">
        <v>45885.467499999999</v>
      </c>
      <c r="G119" s="6">
        <v>45887.459918981483</v>
      </c>
      <c r="H119" s="6">
        <v>45888.601840277777</v>
      </c>
      <c r="I119" s="6">
        <v>45891.725787037038</v>
      </c>
      <c r="J119" s="6">
        <v>45899.444363425922</v>
      </c>
      <c r="K119" s="6">
        <v>45916.625254629631</v>
      </c>
    </row>
    <row r="120" spans="1:11" s="8" customFormat="1" x14ac:dyDescent="0.2">
      <c r="A120" s="18"/>
      <c r="B120" s="5" t="b">
        <v>0</v>
      </c>
      <c r="C120" s="14" t="s">
        <v>114</v>
      </c>
      <c r="D120"/>
      <c r="E120" s="28" t="str">
        <f ca="1">IFERROR(FormatTimeSpan(NOW()-LOOKUP(2,1/(F120:ZZ120&lt;&gt;""),F120:ZZ120)),"")</f>
        <v>8天7小时19分47秒</v>
      </c>
      <c r="F120" s="6">
        <v>45885.472430555557</v>
      </c>
      <c r="G120" s="6">
        <v>45887.464722222219</v>
      </c>
      <c r="H120" s="6">
        <v>45888.602743055555</v>
      </c>
      <c r="I120" s="6">
        <v>45891.728912037041</v>
      </c>
      <c r="J120" s="6">
        <v>45899.445787037039</v>
      </c>
      <c r="K120" s="6">
        <v>45916.627465277779</v>
      </c>
    </row>
    <row r="121" spans="1:11" s="8" customFormat="1" x14ac:dyDescent="0.2">
      <c r="A121" s="18"/>
      <c r="B121" s="5" t="b">
        <v>0</v>
      </c>
      <c r="C121" s="14" t="s">
        <v>115</v>
      </c>
      <c r="D121"/>
      <c r="E121" s="28" t="str">
        <f ca="1">IFERROR(FormatTimeSpan(NOW()-LOOKUP(2,1/(F121:ZZ121&lt;&gt;""),F121:ZZ121)),"")</f>
        <v>8天7小时16分48秒</v>
      </c>
      <c r="F121" s="6">
        <v>45885.474097222221</v>
      </c>
      <c r="G121" s="6">
        <v>45887.466168981482</v>
      </c>
      <c r="H121" s="6">
        <v>45888.603483796294</v>
      </c>
      <c r="I121" s="6">
        <v>45891.730219907404</v>
      </c>
      <c r="J121" s="6">
        <v>45899.447060185186</v>
      </c>
      <c r="K121" s="6">
        <v>45916.629537037035</v>
      </c>
    </row>
    <row r="122" spans="1:11" s="8" customFormat="1" x14ac:dyDescent="0.2">
      <c r="A122" s="18" t="s">
        <v>117</v>
      </c>
      <c r="B122" s="5" t="b">
        <v>0</v>
      </c>
      <c r="C122" s="14" t="s">
        <v>118</v>
      </c>
      <c r="D122"/>
      <c r="E122" s="28" t="str">
        <f ca="1">IFERROR(FormatTimeSpan(NOW()-LOOKUP(2,1/(F122:ZZ122&lt;&gt;""),F122:ZZ122)),"")</f>
        <v>6天13小时46秒</v>
      </c>
      <c r="F122" s="6">
        <v>45889.402592592596</v>
      </c>
      <c r="G122" s="6">
        <v>45890.394976851851</v>
      </c>
      <c r="H122" s="6">
        <v>45891.730555555558</v>
      </c>
      <c r="I122" s="6">
        <v>45895.689479166664</v>
      </c>
      <c r="J122" s="6">
        <v>45902.724502314813</v>
      </c>
      <c r="K122" s="6">
        <v>45918.3906712963</v>
      </c>
    </row>
    <row r="123" spans="1:11" s="8" customFormat="1" x14ac:dyDescent="0.2">
      <c r="A123" s="18"/>
      <c r="B123" s="5" t="b">
        <v>0</v>
      </c>
      <c r="C123" s="14" t="s">
        <v>119</v>
      </c>
      <c r="D123"/>
      <c r="E123" s="28" t="str">
        <f ca="1">IFERROR(FormatTimeSpan(NOW()-LOOKUP(2,1/(F123:ZZ123&lt;&gt;""),F123:ZZ123)),"")</f>
        <v>6天12小时57分21秒</v>
      </c>
      <c r="F123" s="6">
        <v>45889.402905092589</v>
      </c>
      <c r="G123" s="6">
        <v>45890.395497685182</v>
      </c>
      <c r="H123" s="6">
        <v>45891.730949074074</v>
      </c>
      <c r="I123" s="6">
        <v>45895.689965277779</v>
      </c>
      <c r="J123" s="6">
        <v>45902.725810185184</v>
      </c>
      <c r="K123" s="6">
        <v>45918.393043981479</v>
      </c>
    </row>
    <row r="124" spans="1:11" s="8" customFormat="1" x14ac:dyDescent="0.2">
      <c r="A124" s="18"/>
      <c r="B124" s="5" t="b">
        <v>0</v>
      </c>
      <c r="C124" s="14" t="s">
        <v>120</v>
      </c>
      <c r="D124"/>
      <c r="E124" s="28" t="str">
        <f ca="1">IFERROR(FormatTimeSpan(NOW()-LOOKUP(2,1/(F124:ZZ124&lt;&gt;""),F124:ZZ124)),"")</f>
        <v>6天12小时24分2秒</v>
      </c>
      <c r="F124" s="6">
        <v>45889.406388888892</v>
      </c>
      <c r="G124" s="6">
        <v>45890.396840277775</v>
      </c>
      <c r="H124" s="6">
        <v>45891.734490740739</v>
      </c>
      <c r="I124" s="6">
        <v>45895.692048611112</v>
      </c>
      <c r="J124" s="6">
        <v>45902.728159722225</v>
      </c>
      <c r="K124" s="6">
        <v>45918.416180555556</v>
      </c>
    </row>
    <row r="125" spans="1:11" s="8" customFormat="1" x14ac:dyDescent="0.2">
      <c r="A125" s="18"/>
      <c r="B125" s="5" t="b">
        <v>0</v>
      </c>
      <c r="C125" s="14" t="s">
        <v>121</v>
      </c>
      <c r="D125"/>
      <c r="E125" s="28" t="str">
        <f ca="1">IFERROR(FormatTimeSpan(NOW()-LOOKUP(2,1/(F125:ZZ125&lt;&gt;""),F125:ZZ125)),"")</f>
        <v>6天12小时21分22秒</v>
      </c>
      <c r="F125" s="6">
        <v>45889.410196759258</v>
      </c>
      <c r="G125" s="6">
        <v>45890.398738425924</v>
      </c>
      <c r="H125" s="6">
        <v>45891.737962962965</v>
      </c>
      <c r="I125" s="6">
        <v>45895.694247685184</v>
      </c>
      <c r="J125" s="6">
        <v>45902.728877314818</v>
      </c>
      <c r="K125" s="6">
        <v>45918.418032407404</v>
      </c>
    </row>
    <row r="126" spans="1:11" s="8" customFormat="1" x14ac:dyDescent="0.2">
      <c r="A126" s="18"/>
      <c r="B126" s="5" t="b">
        <v>0</v>
      </c>
      <c r="C126" s="14" t="s">
        <v>122</v>
      </c>
      <c r="D126"/>
      <c r="E126" s="28" t="str">
        <f ca="1">IFERROR(FormatTimeSpan(NOW()-LOOKUP(2,1/(F126:ZZ126&lt;&gt;""),F126:ZZ126)),"")</f>
        <v>6天12小时19分60秒</v>
      </c>
      <c r="F126" s="6">
        <v>45889.734351851854</v>
      </c>
      <c r="G126" s="6">
        <v>45890.403379629628</v>
      </c>
      <c r="H126" s="6">
        <v>45891.738576388889</v>
      </c>
      <c r="I126" s="6">
        <v>45895.694571759261</v>
      </c>
      <c r="J126" s="6">
        <v>45902.729155092595</v>
      </c>
      <c r="K126" s="6">
        <v>45918.418981481482</v>
      </c>
    </row>
    <row r="127" spans="1:11" s="8" customFormat="1" x14ac:dyDescent="0.2">
      <c r="A127" s="18"/>
      <c r="B127" s="5" t="b">
        <v>0</v>
      </c>
      <c r="C127" s="14" t="s">
        <v>216</v>
      </c>
      <c r="D127"/>
      <c r="E127" s="28" t="str">
        <f ca="1">IFERROR(FormatTimeSpan(NOW()-LOOKUP(2,1/(F127:ZZ127&lt;&gt;""),F127:ZZ127)),"")</f>
        <v>6天12小时9分40秒</v>
      </c>
      <c r="F127" s="6">
        <v>45889.737870370373</v>
      </c>
      <c r="G127" s="6">
        <v>45890.404918981483</v>
      </c>
      <c r="H127" s="6">
        <v>45891.739884259259</v>
      </c>
      <c r="I127" s="6">
        <v>45895.695960648147</v>
      </c>
      <c r="J127" s="6">
        <v>45902.730358796296</v>
      </c>
      <c r="K127" s="6">
        <v>45918.426157407404</v>
      </c>
    </row>
    <row r="128" spans="1:11" s="8" customFormat="1" x14ac:dyDescent="0.2">
      <c r="A128" s="18"/>
      <c r="B128" s="5" t="b">
        <v>0</v>
      </c>
      <c r="C128" s="14" t="s">
        <v>123</v>
      </c>
      <c r="D128"/>
      <c r="E128" s="28" t="str">
        <f ca="1">IFERROR(FormatTimeSpan(NOW()-LOOKUP(2,1/(F128:ZZ128&lt;&gt;""),F128:ZZ128)),"")</f>
        <v>6天12小时2分5秒</v>
      </c>
      <c r="F128" s="6">
        <v>45889.738391203704</v>
      </c>
      <c r="G128" s="6">
        <v>45890.405949074076</v>
      </c>
      <c r="H128" s="6">
        <v>45891.740555555552</v>
      </c>
      <c r="I128" s="6">
        <v>45895.697060185186</v>
      </c>
      <c r="J128" s="6">
        <v>45902.731412037036</v>
      </c>
      <c r="K128" s="6">
        <v>45918.431423611109</v>
      </c>
    </row>
    <row r="129" spans="1:11" s="8" customFormat="1" x14ac:dyDescent="0.2">
      <c r="A129" s="18"/>
      <c r="B129" s="5" t="b">
        <v>0</v>
      </c>
      <c r="C129" s="14" t="s">
        <v>124</v>
      </c>
      <c r="D129"/>
      <c r="E129" s="28" t="str">
        <f ca="1">IFERROR(FormatTimeSpan(NOW()-LOOKUP(2,1/(F129:ZZ129&lt;&gt;""),F129:ZZ129)),"")</f>
        <v>6天12小时19秒</v>
      </c>
      <c r="F129" s="6">
        <v>45889.73978009259</v>
      </c>
      <c r="G129" s="6">
        <v>45890.407002314816</v>
      </c>
      <c r="H129" s="6">
        <v>45891.74119212963</v>
      </c>
      <c r="I129" s="6">
        <v>45895.698217592595</v>
      </c>
      <c r="J129" s="6">
        <v>45902.732164351852</v>
      </c>
      <c r="K129" s="6">
        <v>45918.432650462964</v>
      </c>
    </row>
    <row r="130" spans="1:11" s="8" customFormat="1" x14ac:dyDescent="0.2">
      <c r="A130" s="18"/>
      <c r="B130" s="5" t="b">
        <v>0</v>
      </c>
      <c r="C130" s="14" t="s">
        <v>125</v>
      </c>
      <c r="D130"/>
      <c r="E130" s="28" t="str">
        <f ca="1">IFERROR(FormatTimeSpan(NOW()-LOOKUP(2,1/(F130:ZZ130&lt;&gt;""),F130:ZZ130)),"")</f>
        <v>6天11小时57分56秒</v>
      </c>
      <c r="F130" s="6">
        <v>45889.740231481483</v>
      </c>
      <c r="G130" s="6">
        <v>45890.407835648148</v>
      </c>
      <c r="H130" s="6">
        <v>45891.741562499999</v>
      </c>
      <c r="I130" s="6">
        <v>45895.698935185188</v>
      </c>
      <c r="J130" s="6">
        <v>45902.732546296298</v>
      </c>
      <c r="K130" s="6">
        <v>45918.434305555558</v>
      </c>
    </row>
    <row r="131" spans="1:11" s="8" customFormat="1" x14ac:dyDescent="0.2">
      <c r="A131" s="18"/>
      <c r="B131" s="5" t="b">
        <v>0</v>
      </c>
      <c r="C131" s="14" t="s">
        <v>134</v>
      </c>
      <c r="D131"/>
      <c r="E131" s="28" t="str">
        <f ca="1">IFERROR(FormatTimeSpan(NOW()-LOOKUP(2,1/(F131:ZZ131&lt;&gt;""),F131:ZZ131)),"")</f>
        <v>6天11小时47分8秒</v>
      </c>
      <c r="F131" s="6">
        <v>45889.865624999999</v>
      </c>
      <c r="G131" s="6">
        <v>45890.410949074074</v>
      </c>
      <c r="H131" s="6">
        <v>45891.74422453704</v>
      </c>
      <c r="I131" s="6">
        <v>45895.711759259262</v>
      </c>
      <c r="J131" s="6">
        <v>45902.733981481484</v>
      </c>
      <c r="K131" s="6">
        <v>45918.441805555558</v>
      </c>
    </row>
    <row r="132" spans="1:11" s="8" customFormat="1" x14ac:dyDescent="0.2">
      <c r="A132" s="18"/>
      <c r="B132" s="5" t="b">
        <v>0</v>
      </c>
      <c r="C132" s="14" t="s">
        <v>135</v>
      </c>
      <c r="D132"/>
      <c r="E132" s="28" t="str">
        <f ca="1">IFERROR(FormatTimeSpan(NOW()-LOOKUP(2,1/(F132:ZZ132&lt;&gt;""),F132:ZZ132)),"")</f>
        <v>6天11小时44分16秒</v>
      </c>
      <c r="F132" s="6">
        <v>45889.869803240741</v>
      </c>
      <c r="G132" s="6">
        <v>45890.412256944444</v>
      </c>
      <c r="H132" s="6">
        <v>45891.745810185188</v>
      </c>
      <c r="I132" s="6">
        <v>45895.712650462963</v>
      </c>
      <c r="J132" s="6">
        <v>45902.735590277778</v>
      </c>
      <c r="K132" s="6">
        <v>45918.443796296298</v>
      </c>
    </row>
    <row r="133" spans="1:11" s="8" customFormat="1" x14ac:dyDescent="0.2">
      <c r="A133" s="18"/>
      <c r="B133" s="5" t="b">
        <v>0</v>
      </c>
      <c r="C133" s="14" t="s">
        <v>136</v>
      </c>
      <c r="D133"/>
      <c r="E133" s="28" t="str">
        <f ca="1">IFERROR(FormatTimeSpan(NOW()-LOOKUP(2,1/(F133:ZZ133&lt;&gt;""),F133:ZZ133)),"")</f>
        <v>6天11小时42分18秒</v>
      </c>
      <c r="F133" s="6">
        <v>45889.883113425924</v>
      </c>
      <c r="G133" s="6">
        <v>45890.413564814815</v>
      </c>
      <c r="H133" s="6">
        <v>45891.752164351848</v>
      </c>
      <c r="I133" s="6">
        <v>45895.713564814818</v>
      </c>
      <c r="J133" s="6">
        <v>45902.736770833333</v>
      </c>
      <c r="K133" s="6">
        <v>45918.445162037038</v>
      </c>
    </row>
    <row r="134" spans="1:11" s="8" customFormat="1" x14ac:dyDescent="0.2">
      <c r="A134" s="18"/>
      <c r="B134" s="5" t="b">
        <v>0</v>
      </c>
      <c r="C134" s="14" t="s">
        <v>137</v>
      </c>
      <c r="D134"/>
      <c r="E134" s="28" t="str">
        <f ca="1">IFERROR(FormatTimeSpan(NOW()-LOOKUP(2,1/(F134:ZZ134&lt;&gt;""),F134:ZZ134)),"")</f>
        <v>6天11小时39分50秒</v>
      </c>
      <c r="F134" s="6">
        <v>45889.885787037034</v>
      </c>
      <c r="G134" s="6">
        <v>45890.414872685185</v>
      </c>
      <c r="H134" s="6">
        <v>45891.752997685187</v>
      </c>
      <c r="I134" s="6">
        <v>45895.714618055557</v>
      </c>
      <c r="J134" s="6">
        <v>45902.737592592595</v>
      </c>
      <c r="K134" s="6">
        <v>45918.446875000001</v>
      </c>
    </row>
    <row r="135" spans="1:11" s="8" customFormat="1" x14ac:dyDescent="0.2">
      <c r="A135" s="18"/>
      <c r="B135" s="5" t="b">
        <v>0</v>
      </c>
      <c r="C135" s="14" t="s">
        <v>126</v>
      </c>
      <c r="D135"/>
      <c r="E135" s="28" t="str">
        <f ca="1">IFERROR(FormatTimeSpan(NOW()-LOOKUP(2,1/(F135:ZZ135&lt;&gt;""),F135:ZZ135)),"")</f>
        <v>8小时25秒</v>
      </c>
      <c r="F135" s="6">
        <v>45890.416944444441</v>
      </c>
      <c r="G135" s="6">
        <v>45891.756168981483</v>
      </c>
      <c r="H135" s="6">
        <v>45895.718229166669</v>
      </c>
      <c r="I135" s="6">
        <v>45899.448923611111</v>
      </c>
      <c r="J135" s="6">
        <v>45907.842430555553</v>
      </c>
      <c r="K135" s="6">
        <v>45924.599247685182</v>
      </c>
    </row>
    <row r="136" spans="1:11" s="8" customFormat="1" x14ac:dyDescent="0.2">
      <c r="A136" s="18"/>
      <c r="B136" s="5" t="b">
        <v>0</v>
      </c>
      <c r="C136" s="14" t="s">
        <v>127</v>
      </c>
      <c r="D136"/>
      <c r="E136" s="28" t="str">
        <f ca="1">IFERROR(FormatTimeSpan(NOW()-LOOKUP(2,1/(F136:ZZ136&lt;&gt;""),F136:ZZ136)),"")</f>
        <v>7小时54分13秒</v>
      </c>
      <c r="F136" s="6">
        <v>45890.417268518519</v>
      </c>
      <c r="G136" s="6">
        <v>45891.756550925929</v>
      </c>
      <c r="H136" s="6">
        <v>45895.719583333332</v>
      </c>
      <c r="I136" s="6">
        <v>45899.449270833335</v>
      </c>
      <c r="J136" s="6">
        <v>45907.842800925922</v>
      </c>
      <c r="K136" s="6">
        <v>45924.60355324074</v>
      </c>
    </row>
    <row r="137" spans="1:11" s="8" customFormat="1" x14ac:dyDescent="0.2">
      <c r="A137" s="18"/>
      <c r="B137" s="5" t="b">
        <v>0</v>
      </c>
      <c r="C137" s="14" t="s">
        <v>193</v>
      </c>
      <c r="D137"/>
      <c r="E137" s="28" t="str">
        <f ca="1">IFERROR(FormatTimeSpan(NOW()-LOOKUP(2,1/(F137:ZZ137&lt;&gt;""),F137:ZZ137)),"")</f>
        <v>7小时41分53秒</v>
      </c>
      <c r="F137" s="6">
        <v>45890.426770833335</v>
      </c>
      <c r="G137" s="6">
        <v>45891.770787037036</v>
      </c>
      <c r="H137" s="6">
        <v>45895.720775462964</v>
      </c>
      <c r="I137" s="6">
        <v>45899.450416666667</v>
      </c>
      <c r="J137" s="6">
        <v>45907.843888888892</v>
      </c>
      <c r="K137" s="6">
        <v>45924.612118055556</v>
      </c>
    </row>
    <row r="138" spans="1:11" s="8" customFormat="1" x14ac:dyDescent="0.2">
      <c r="A138" s="18"/>
      <c r="B138" s="5" t="b">
        <v>0</v>
      </c>
      <c r="C138" s="14" t="s">
        <v>132</v>
      </c>
      <c r="D138"/>
      <c r="E138" s="28" t="str">
        <f ca="1">IFERROR(FormatTimeSpan(NOW()-LOOKUP(2,1/(F138:ZZ138&lt;&gt;""),F138:ZZ138)),"")</f>
        <v>7小时37分32秒</v>
      </c>
      <c r="F138" s="6">
        <v>45890.426944444444</v>
      </c>
      <c r="G138" s="6">
        <v>45891.772974537038</v>
      </c>
      <c r="H138" s="6">
        <v>45895.721550925926</v>
      </c>
      <c r="I138" s="6">
        <v>45899.451053240744</v>
      </c>
      <c r="J138" s="6">
        <v>45907.844270833331</v>
      </c>
      <c r="K138" s="6">
        <v>45924.61513888889</v>
      </c>
    </row>
    <row r="139" spans="1:11" s="8" customFormat="1" x14ac:dyDescent="0.2">
      <c r="A139" s="18"/>
      <c r="B139" s="5" t="b">
        <v>0</v>
      </c>
      <c r="C139" s="14" t="s">
        <v>133</v>
      </c>
      <c r="D139"/>
      <c r="E139" s="28" t="str">
        <f ca="1">IFERROR(FormatTimeSpan(NOW()-LOOKUP(2,1/(F139:ZZ139&lt;&gt;""),F139:ZZ139)),"")</f>
        <v>7小时34分54秒</v>
      </c>
      <c r="F139" s="6">
        <v>45890.427002314813</v>
      </c>
      <c r="G139" s="6">
        <v>45891.7734837963</v>
      </c>
      <c r="H139" s="6">
        <v>45895.722893518519</v>
      </c>
      <c r="I139" s="6">
        <v>45899.451388888891</v>
      </c>
      <c r="J139" s="6">
        <v>45907.844629629632</v>
      </c>
      <c r="K139" s="6">
        <v>45924.616967592592</v>
      </c>
    </row>
    <row r="140" spans="1:11" s="8" customFormat="1" x14ac:dyDescent="0.2">
      <c r="A140" s="18"/>
      <c r="B140" s="5" t="b">
        <v>0</v>
      </c>
      <c r="C140" s="14" t="s">
        <v>128</v>
      </c>
      <c r="D140"/>
      <c r="E140" s="28" t="str">
        <f ca="1">IFERROR(FormatTimeSpan(NOW()-LOOKUP(2,1/(F140:ZZ140&lt;&gt;""),F140:ZZ140)),"")</f>
        <v>6小时26分47秒</v>
      </c>
      <c r="F140" s="6">
        <v>45892.402743055558</v>
      </c>
      <c r="G140" s="6">
        <v>45895.726157407407</v>
      </c>
      <c r="H140" s="6">
        <v>45897.380752314813</v>
      </c>
      <c r="I140" s="6">
        <v>45900.937268518515</v>
      </c>
      <c r="J140" s="6">
        <v>45908.366759259261</v>
      </c>
      <c r="K140" s="6">
        <v>45924.664270833331</v>
      </c>
    </row>
    <row r="141" spans="1:11" s="8" customFormat="1" x14ac:dyDescent="0.2">
      <c r="A141" s="18"/>
      <c r="B141" s="5" t="b">
        <v>0</v>
      </c>
      <c r="C141" s="14" t="s">
        <v>138</v>
      </c>
      <c r="D141"/>
      <c r="E141" s="28" t="str">
        <f ca="1">IFERROR(FormatTimeSpan(NOW()-LOOKUP(2,1/(F141:ZZ141&lt;&gt;""),F141:ZZ141)),"")</f>
        <v>6小时22分16秒</v>
      </c>
      <c r="F141" s="6">
        <v>45892.405995370369</v>
      </c>
      <c r="G141" s="6">
        <v>45895.728773148148</v>
      </c>
      <c r="H141" s="6">
        <v>45897.382118055553</v>
      </c>
      <c r="I141" s="6">
        <v>45900.939027777778</v>
      </c>
      <c r="J141" s="6">
        <v>45908.369560185187</v>
      </c>
      <c r="K141" s="6">
        <v>45924.667407407411</v>
      </c>
    </row>
    <row r="142" spans="1:11" s="8" customFormat="1" x14ac:dyDescent="0.2">
      <c r="A142" s="18"/>
      <c r="B142" s="5" t="b">
        <v>0</v>
      </c>
      <c r="C142" s="14" t="s">
        <v>129</v>
      </c>
      <c r="D142"/>
      <c r="E142" s="28" t="str">
        <f ca="1">IFERROR(FormatTimeSpan(NOW()-LOOKUP(2,1/(F142:ZZ142&lt;&gt;""),F142:ZZ142)),"")</f>
        <v>5小时59分3秒</v>
      </c>
      <c r="F142" s="6">
        <v>45892.411516203705</v>
      </c>
      <c r="G142" s="6">
        <v>45895.731435185182</v>
      </c>
      <c r="H142" s="6">
        <v>45897.383506944447</v>
      </c>
      <c r="I142" s="6">
        <v>45900.945405092592</v>
      </c>
      <c r="J142" s="6">
        <v>45908.375092592592</v>
      </c>
      <c r="K142" s="6">
        <v>45924.683530092596</v>
      </c>
    </row>
    <row r="143" spans="1:11" s="8" customFormat="1" x14ac:dyDescent="0.2">
      <c r="A143" s="18"/>
      <c r="B143" s="5" t="b">
        <v>0</v>
      </c>
      <c r="C143" s="14" t="s">
        <v>130</v>
      </c>
      <c r="D143"/>
      <c r="E143" s="28" t="str">
        <f ca="1">IFERROR(FormatTimeSpan(NOW()-LOOKUP(2,1/(F143:ZZ143&lt;&gt;""),F143:ZZ143)),"")</f>
        <v>5小时47分12秒</v>
      </c>
      <c r="F143" s="6">
        <v>45892.412118055552</v>
      </c>
      <c r="G143" s="6">
        <v>45895.737175925926</v>
      </c>
      <c r="H143" s="6">
        <v>45897.385231481479</v>
      </c>
      <c r="I143" s="6">
        <v>45900.94604166667</v>
      </c>
      <c r="J143" s="6">
        <v>45908.384930555556</v>
      </c>
      <c r="K143" s="6">
        <v>45924.691759259258</v>
      </c>
    </row>
    <row r="144" spans="1:11" s="8" customFormat="1" x14ac:dyDescent="0.2">
      <c r="A144" s="18"/>
      <c r="B144" s="5" t="b">
        <v>0</v>
      </c>
      <c r="C144" s="14" t="s">
        <v>131</v>
      </c>
      <c r="D144"/>
      <c r="E144" s="28" t="str">
        <f ca="1">IFERROR(FormatTimeSpan(NOW()-LOOKUP(2,1/(F144:ZZ144&lt;&gt;""),F144:ZZ144)),"")</f>
        <v>5小时42分2秒</v>
      </c>
      <c r="F144" s="6">
        <v>45892.413645833331</v>
      </c>
      <c r="G144" s="6">
        <v>45895.739525462966</v>
      </c>
      <c r="H144" s="6">
        <v>45897.385960648149</v>
      </c>
      <c r="I144" s="6">
        <v>45900.94736111111</v>
      </c>
      <c r="J144" s="6">
        <v>45908.386261574073</v>
      </c>
      <c r="K144" s="6">
        <v>45924.695347222223</v>
      </c>
    </row>
    <row r="145" spans="1:11" s="8" customFormat="1" x14ac:dyDescent="0.2">
      <c r="A145" s="18"/>
      <c r="B145" s="5" t="b">
        <v>0</v>
      </c>
      <c r="C145" s="14" t="s">
        <v>141</v>
      </c>
      <c r="D145"/>
      <c r="E145" s="28" t="str">
        <f ca="1">IFERROR(FormatTimeSpan(NOW()-LOOKUP(2,1/(F145:ZZ145&lt;&gt;""),F145:ZZ145)),"")</f>
        <v>4小时39分16秒</v>
      </c>
      <c r="F145" s="6">
        <v>45892.417025462964</v>
      </c>
      <c r="G145" s="6">
        <v>45895.74119212963</v>
      </c>
      <c r="H145" s="6">
        <v>45897.387569444443</v>
      </c>
      <c r="I145" s="6">
        <v>45900.948831018519</v>
      </c>
      <c r="J145" s="6">
        <v>45908.390474537038</v>
      </c>
      <c r="K145" s="6">
        <v>45924.738935185182</v>
      </c>
    </row>
    <row r="146" spans="1:11" s="1" customFormat="1" x14ac:dyDescent="0.2">
      <c r="A146" s="19"/>
      <c r="B146" s="5" t="b">
        <v>0</v>
      </c>
      <c r="C146" s="16" t="s">
        <v>139</v>
      </c>
      <c r="D146"/>
      <c r="E146" s="28" t="str">
        <f ca="1">IFERROR(FormatTimeSpan(NOW()-LOOKUP(2,1/(F146:ZZ146&lt;&gt;""),F146:ZZ146)),"")</f>
        <v>4小时29分4秒</v>
      </c>
      <c r="F146" s="20">
        <v>45892.425856481481</v>
      </c>
      <c r="G146" s="20">
        <v>45895.746527777781</v>
      </c>
      <c r="H146" s="20">
        <v>45897.388865740744</v>
      </c>
      <c r="I146" s="20">
        <v>45900.950555555559</v>
      </c>
      <c r="J146" s="20">
        <v>45908.394594907404</v>
      </c>
      <c r="K146" s="20">
        <v>45924.746018518519</v>
      </c>
    </row>
    <row r="147" spans="1:11" s="1" customFormat="1" x14ac:dyDescent="0.2">
      <c r="A147" s="19"/>
      <c r="B147" s="5" t="b">
        <v>0</v>
      </c>
      <c r="C147" s="16" t="s">
        <v>140</v>
      </c>
      <c r="E147" s="28" t="str">
        <f ca="1">IFERROR(FormatTimeSpan(NOW()-LOOKUP(2,1/(F147:ZZ147&lt;&gt;""),F147:ZZ147)),"")</f>
        <v>4小时26分38秒</v>
      </c>
      <c r="F147" s="20">
        <v>45892.427499999998</v>
      </c>
      <c r="G147" s="20">
        <v>45895.747858796298</v>
      </c>
      <c r="H147" s="20">
        <v>45897.391203703701</v>
      </c>
      <c r="I147" s="20">
        <v>45900.952974537038</v>
      </c>
      <c r="J147" s="20">
        <v>45908.396145833336</v>
      </c>
      <c r="K147" s="20">
        <v>45924.747708333336</v>
      </c>
    </row>
    <row r="148" spans="1:11" s="1" customFormat="1" x14ac:dyDescent="0.2">
      <c r="A148" s="19"/>
      <c r="B148" s="5" t="b">
        <v>0</v>
      </c>
      <c r="C148" s="16" t="s">
        <v>196</v>
      </c>
      <c r="E148" s="22" t="str">
        <f ca="1">IFERROR(FormatTimeSpan(NOW()-LOOKUP(2,1/(F148:ZZ148&lt;&gt;""),F148:ZZ148)),"")</f>
        <v>16天12小时51分12秒</v>
      </c>
      <c r="F148" s="20">
        <v>45895.878518518519</v>
      </c>
      <c r="G148" s="20">
        <v>45896.664629629631</v>
      </c>
      <c r="H148" s="20">
        <v>45897.740648148145</v>
      </c>
      <c r="I148" s="20">
        <v>45900.953506944446</v>
      </c>
      <c r="J148" s="20">
        <v>45908.397314814814</v>
      </c>
    </row>
    <row r="149" spans="1:11" x14ac:dyDescent="0.2">
      <c r="B149" s="5" t="b">
        <v>0</v>
      </c>
      <c r="C149" s="16" t="s">
        <v>142</v>
      </c>
      <c r="E149" s="22" t="str">
        <f ca="1">IFERROR(FormatTimeSpan(NOW()-LOOKUP(2,1/(F149:ZZ149&lt;&gt;""),F149:ZZ149)),"")</f>
        <v>16天12小时47分38秒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  <c r="J149" s="20">
        <v>45908.399791666663</v>
      </c>
    </row>
    <row r="150" spans="1:11" x14ac:dyDescent="0.2">
      <c r="B150" s="5" t="b">
        <v>0</v>
      </c>
      <c r="C150" s="16" t="s">
        <v>143</v>
      </c>
      <c r="E150" s="22" t="str">
        <f ca="1">IFERROR(FormatTimeSpan(NOW()-LOOKUP(2,1/(F150:ZZ150&lt;&gt;""),F150:ZZ150)),"")</f>
        <v>16天12小时46分48秒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  <c r="J150" s="20">
        <v>45908.400370370371</v>
      </c>
    </row>
    <row r="151" spans="1:11" x14ac:dyDescent="0.2">
      <c r="B151" s="5" t="b">
        <v>0</v>
      </c>
      <c r="C151" s="16" t="s">
        <v>144</v>
      </c>
      <c r="E151" s="22" t="str">
        <f ca="1">IFERROR(FormatTimeSpan(NOW()-LOOKUP(2,1/(F151:ZZ151&lt;&gt;""),F151:ZZ151)),"")</f>
        <v>16天12小时45分32秒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  <c r="J151" s="20">
        <v>45908.401250000003</v>
      </c>
    </row>
    <row r="152" spans="1:11" x14ac:dyDescent="0.2">
      <c r="B152" s="5" t="b">
        <v>0</v>
      </c>
      <c r="C152" s="16" t="s">
        <v>145</v>
      </c>
      <c r="E152" s="22" t="str">
        <f ca="1">IFERROR(FormatTimeSpan(NOW()-LOOKUP(2,1/(F152:ZZ152&lt;&gt;""),F152:ZZ152)),"")</f>
        <v>16天12小时42分48秒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  <c r="J152" s="20">
        <v>45908.403148148151</v>
      </c>
    </row>
    <row r="153" spans="1:11" x14ac:dyDescent="0.2">
      <c r="B153" s="5" t="b">
        <v>0</v>
      </c>
      <c r="C153" s="16" t="s">
        <v>146</v>
      </c>
      <c r="E153" s="22" t="str">
        <f ca="1">IFERROR(FormatTimeSpan(NOW()-LOOKUP(2,1/(F153:ZZ153&lt;&gt;""),F153:ZZ153)),"")</f>
        <v>16天12小时41分51秒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  <c r="J153" s="20">
        <v>45908.403807870367</v>
      </c>
    </row>
    <row r="154" spans="1:11" x14ac:dyDescent="0.2">
      <c r="B154" s="5" t="b">
        <v>0</v>
      </c>
      <c r="C154" s="16" t="s">
        <v>147</v>
      </c>
      <c r="E154" s="22" t="str">
        <f ca="1">IFERROR(FormatTimeSpan(NOW()-LOOKUP(2,1/(F154:ZZ154&lt;&gt;""),F154:ZZ154)),"")</f>
        <v>16天12小时41分18秒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  <c r="J154" s="20">
        <v>45908.404189814813</v>
      </c>
    </row>
    <row r="155" spans="1:11" x14ac:dyDescent="0.2">
      <c r="B155" s="5" t="b">
        <v>0</v>
      </c>
      <c r="C155" s="16" t="s">
        <v>194</v>
      </c>
      <c r="E155" s="22" t="str">
        <f ca="1">IFERROR(FormatTimeSpan(NOW()-LOOKUP(2,1/(F155:ZZ155&lt;&gt;""),F155:ZZ155)),"")</f>
        <v>15天46分6秒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  <c r="J155" s="20">
        <v>45909.900856481479</v>
      </c>
    </row>
    <row r="156" spans="1:11" x14ac:dyDescent="0.2">
      <c r="B156" s="5" t="b">
        <v>0</v>
      </c>
      <c r="C156" s="16" t="s">
        <v>195</v>
      </c>
      <c r="E156" s="22" t="str">
        <f ca="1">IFERROR(FormatTimeSpan(NOW()-LOOKUP(2,1/(F156:ZZ156&lt;&gt;""),F156:ZZ156)),"")</f>
        <v>15天43分20秒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  <c r="J156" s="20">
        <v>45909.902777777781</v>
      </c>
    </row>
    <row r="157" spans="1:11" x14ac:dyDescent="0.2">
      <c r="B157" s="5" t="b">
        <v>0</v>
      </c>
      <c r="C157" s="16" t="s">
        <v>148</v>
      </c>
      <c r="E157" s="22" t="str">
        <f ca="1">IFERROR(FormatTimeSpan(NOW()-LOOKUP(2,1/(F157:ZZ157&lt;&gt;""),F157:ZZ157)),"")</f>
        <v>15天39分23秒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  <c r="J157" s="20">
        <v>45909.90552083333</v>
      </c>
    </row>
    <row r="158" spans="1:11" x14ac:dyDescent="0.2">
      <c r="B158" s="5" t="b">
        <v>0</v>
      </c>
      <c r="C158" s="16" t="s">
        <v>149</v>
      </c>
      <c r="E158" s="22" t="str">
        <f ca="1">IFERROR(FormatTimeSpan(NOW()-LOOKUP(2,1/(F158:ZZ158&lt;&gt;""),F158:ZZ158)),"")</f>
        <v>15天32分14秒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  <c r="J158" s="20">
        <v>45909.910486111112</v>
      </c>
    </row>
    <row r="159" spans="1:11" x14ac:dyDescent="0.2">
      <c r="B159" s="5" t="b">
        <v>0</v>
      </c>
      <c r="C159" s="16" t="s">
        <v>150</v>
      </c>
      <c r="E159" s="22" t="str">
        <f ca="1">IFERROR(FormatTimeSpan(NOW()-LOOKUP(2,1/(F159:ZZ159&lt;&gt;""),F159:ZZ159)),"")</f>
        <v>15天30分56秒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  <c r="J159" s="20">
        <v>45909.91138888889</v>
      </c>
    </row>
    <row r="160" spans="1:11" x14ac:dyDescent="0.2">
      <c r="B160" s="5" t="b">
        <v>0</v>
      </c>
      <c r="C160" s="16" t="s">
        <v>151</v>
      </c>
      <c r="E160" s="22" t="str">
        <f ca="1">IFERROR(FormatTimeSpan(NOW()-LOOKUP(2,1/(F160:ZZ160&lt;&gt;""),F160:ZZ160)),"")</f>
        <v>15天29分53秒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  <c r="J160" s="20">
        <v>45909.912118055552</v>
      </c>
    </row>
    <row r="161" spans="2:10" x14ac:dyDescent="0.2">
      <c r="B161" s="5" t="b">
        <v>0</v>
      </c>
      <c r="C161" s="16" t="s">
        <v>152</v>
      </c>
      <c r="E161" s="22" t="str">
        <f ca="1">IFERROR(FormatTimeSpan(NOW()-LOOKUP(2,1/(F161:ZZ161&lt;&gt;""),F161:ZZ161)),"")</f>
        <v>15天26分16秒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  <c r="J161" s="20">
        <v>45909.914629629631</v>
      </c>
    </row>
    <row r="162" spans="2:10" x14ac:dyDescent="0.2">
      <c r="B162" s="5" t="b">
        <v>0</v>
      </c>
      <c r="C162" s="16" t="s">
        <v>153</v>
      </c>
      <c r="E162" s="22" t="str">
        <f ca="1">IFERROR(FormatTimeSpan(NOW()-LOOKUP(2,1/(F162:ZZ162&lt;&gt;""),F162:ZZ162)),"")</f>
        <v>15天24分30秒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  <c r="J162" s="20">
        <v>45909.915856481479</v>
      </c>
    </row>
    <row r="163" spans="2:10" x14ac:dyDescent="0.2">
      <c r="B163" s="5" t="b">
        <v>0</v>
      </c>
      <c r="C163" s="16" t="s">
        <v>154</v>
      </c>
      <c r="E163" s="28" t="str">
        <f ca="1">IFERROR(FormatTimeSpan(NOW()-LOOKUP(2,1/(F163:ZZ163&lt;&gt;""),F163:ZZ163)),"")</f>
        <v>11天10小时44分12秒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  <c r="J163" s="20">
        <v>45913.485509259262</v>
      </c>
    </row>
    <row r="164" spans="2:10" x14ac:dyDescent="0.2">
      <c r="B164" s="5" t="b">
        <v>0</v>
      </c>
      <c r="C164" s="16" t="s">
        <v>155</v>
      </c>
      <c r="E164" s="28" t="str">
        <f ca="1">IFERROR(FormatTimeSpan(NOW()-LOOKUP(2,1/(F164:ZZ164&lt;&gt;""),F164:ZZ164)),"")</f>
        <v>11天10小时42分3秒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  <c r="J164" s="20">
        <v>45913.487002314818</v>
      </c>
    </row>
    <row r="165" spans="2:10" x14ac:dyDescent="0.2">
      <c r="B165" s="5" t="b">
        <v>0</v>
      </c>
      <c r="C165" s="16" t="s">
        <v>156</v>
      </c>
      <c r="E165" s="28" t="str">
        <f ca="1">IFERROR(FormatTimeSpan(NOW()-LOOKUP(2,1/(F165:ZZ165&lt;&gt;""),F165:ZZ165)),"")</f>
        <v>11天10小时37分43秒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  <c r="J165" s="20">
        <v>45913.490011574075</v>
      </c>
    </row>
    <row r="166" spans="2:10" x14ac:dyDescent="0.2">
      <c r="B166" s="5" t="b">
        <v>0</v>
      </c>
      <c r="C166" s="16" t="s">
        <v>157</v>
      </c>
      <c r="E166" s="28" t="str">
        <f ca="1">IFERROR(FormatTimeSpan(NOW()-LOOKUP(2,1/(F166:ZZ166&lt;&gt;""),F166:ZZ166)),"")</f>
        <v>11天10小时31分40秒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  <c r="J166" s="20">
        <v>45913.494212962964</v>
      </c>
    </row>
    <row r="167" spans="2:10" x14ac:dyDescent="0.2">
      <c r="B167" s="5" t="b">
        <v>0</v>
      </c>
      <c r="C167" s="16" t="s">
        <v>158</v>
      </c>
      <c r="E167" s="28" t="str">
        <f ca="1">IFERROR(FormatTimeSpan(NOW()-LOOKUP(2,1/(F167:ZZ167&lt;&gt;""),F167:ZZ167)),"")</f>
        <v>11天10小时23分15秒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  <c r="J167" s="20">
        <v>45913.500057870369</v>
      </c>
    </row>
    <row r="168" spans="2:10" x14ac:dyDescent="0.2">
      <c r="B168" s="5" t="b">
        <v>0</v>
      </c>
      <c r="C168" s="16" t="s">
        <v>159</v>
      </c>
      <c r="E168" s="28" t="str">
        <f ca="1">IFERROR(FormatTimeSpan(NOW()-LOOKUP(2,1/(F168:ZZ168&lt;&gt;""),F168:ZZ168)),"")</f>
        <v>11天7小时29分37秒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  <c r="J168" s="20">
        <v>45913.620636574073</v>
      </c>
    </row>
    <row r="169" spans="2:10" x14ac:dyDescent="0.2">
      <c r="B169" s="5" t="b">
        <v>0</v>
      </c>
      <c r="C169" s="16" t="s">
        <v>160</v>
      </c>
      <c r="E169" s="28" t="str">
        <f ca="1">IFERROR(FormatTimeSpan(NOW()-LOOKUP(2,1/(F169:ZZ169&lt;&gt;""),F169:ZZ169)),"")</f>
        <v>11天7小时25分48秒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  <c r="J169" s="20">
        <v>45913.623287037037</v>
      </c>
    </row>
    <row r="170" spans="2:10" x14ac:dyDescent="0.2">
      <c r="B170" s="5" t="b">
        <v>0</v>
      </c>
      <c r="C170" s="16" t="s">
        <v>162</v>
      </c>
      <c r="E170" s="28" t="str">
        <f ca="1">IFERROR(FormatTimeSpan(NOW()-LOOKUP(2,1/(F170:ZZ170&lt;&gt;""),F170:ZZ170)),"")</f>
        <v>11天7小时21分21秒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  <c r="J170" s="20">
        <v>45913.626377314817</v>
      </c>
    </row>
    <row r="171" spans="2:10" x14ac:dyDescent="0.2">
      <c r="B171" s="5" t="b">
        <v>0</v>
      </c>
      <c r="C171" s="16" t="s">
        <v>161</v>
      </c>
      <c r="E171" s="28" t="str">
        <f ca="1">IFERROR(FormatTimeSpan(NOW()-LOOKUP(2,1/(F171:ZZ171&lt;&gt;""),F171:ZZ171)),"")</f>
        <v>11天7小时13分11秒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  <c r="J171" s="20">
        <v>45913.632048611114</v>
      </c>
    </row>
    <row r="172" spans="2:10" x14ac:dyDescent="0.2">
      <c r="B172" s="5" t="b">
        <v>0</v>
      </c>
      <c r="C172" s="16" t="s">
        <v>163</v>
      </c>
      <c r="E172" s="28" t="str">
        <f ca="1">IFERROR(FormatTimeSpan(NOW()-LOOKUP(2,1/(F172:ZZ172&lt;&gt;""),F172:ZZ172)),"")</f>
        <v>8天7小时4分7秒</v>
      </c>
      <c r="F172" s="20">
        <v>45901.485162037039</v>
      </c>
      <c r="G172" s="20">
        <v>45902.367060185185</v>
      </c>
      <c r="H172" s="20">
        <v>45903.616770833331</v>
      </c>
      <c r="I172" s="20">
        <v>45907.84652777778</v>
      </c>
      <c r="J172" s="20">
        <v>45916.638344907406</v>
      </c>
    </row>
    <row r="173" spans="2:10" x14ac:dyDescent="0.2">
      <c r="B173" s="5" t="b">
        <v>0</v>
      </c>
      <c r="C173" s="16" t="s">
        <v>197</v>
      </c>
      <c r="E173" s="28" t="str">
        <f ca="1">IFERROR(FormatTimeSpan(NOW()-LOOKUP(2,1/(F173:ZZ173&lt;&gt;""),F173:ZZ173)),"")</f>
        <v>8天6小时57分16秒</v>
      </c>
      <c r="F173" s="20">
        <v>45901.486689814818</v>
      </c>
      <c r="G173" s="20">
        <v>45902.368773148148</v>
      </c>
      <c r="H173" s="20">
        <v>45903.620092592595</v>
      </c>
      <c r="I173" s="20">
        <v>45907.848379629628</v>
      </c>
      <c r="J173" s="20">
        <v>45916.643101851849</v>
      </c>
    </row>
    <row r="174" spans="2:10" x14ac:dyDescent="0.2">
      <c r="B174" s="5" t="b">
        <v>0</v>
      </c>
      <c r="C174" s="16" t="s">
        <v>198</v>
      </c>
      <c r="E174" s="28" t="str">
        <f ca="1">IFERROR(FormatTimeSpan(NOW()-LOOKUP(2,1/(F174:ZZ174&lt;&gt;""),F174:ZZ174)),"")</f>
        <v>8天6小时40分35秒</v>
      </c>
      <c r="F174" s="20">
        <v>45901.489305555559</v>
      </c>
      <c r="G174" s="20">
        <v>45902.370509259257</v>
      </c>
      <c r="H174" s="20">
        <v>45903.623657407406</v>
      </c>
      <c r="I174" s="20">
        <v>45907.850983796299</v>
      </c>
      <c r="J174" s="20">
        <v>45916.654687499999</v>
      </c>
    </row>
    <row r="175" spans="2:10" x14ac:dyDescent="0.2">
      <c r="B175" s="5" t="b">
        <v>0</v>
      </c>
      <c r="C175" s="16" t="s">
        <v>164</v>
      </c>
      <c r="E175" s="28" t="str">
        <f ca="1">IFERROR(FormatTimeSpan(NOW()-LOOKUP(2,1/(F175:ZZ175&lt;&gt;""),F175:ZZ175)),"")</f>
        <v>8天6小时35分46秒</v>
      </c>
      <c r="F175" s="20">
        <v>45901.490266203706</v>
      </c>
      <c r="G175" s="20">
        <v>45902.372777777775</v>
      </c>
      <c r="H175" s="20">
        <v>45903.625486111108</v>
      </c>
      <c r="I175" s="20">
        <v>45907.852638888886</v>
      </c>
      <c r="J175" s="20">
        <v>45916.658032407409</v>
      </c>
    </row>
    <row r="176" spans="2:10" x14ac:dyDescent="0.2">
      <c r="B176" s="5" t="b">
        <v>0</v>
      </c>
      <c r="C176" s="16" t="s">
        <v>165</v>
      </c>
      <c r="E176" s="28" t="str">
        <f ca="1">IFERROR(FormatTimeSpan(NOW()-LOOKUP(2,1/(F176:ZZ176&lt;&gt;""),F176:ZZ176)),"")</f>
        <v>8天6小时33分21秒</v>
      </c>
      <c r="F176" s="20">
        <v>45901.4921875</v>
      </c>
      <c r="G176" s="20">
        <v>45902.374548611115</v>
      </c>
      <c r="H176" s="20">
        <v>45903.627534722225</v>
      </c>
      <c r="I176" s="20">
        <v>45907.854259259257</v>
      </c>
      <c r="J176" s="20">
        <v>45916.659710648149</v>
      </c>
    </row>
    <row r="177" spans="2:10" x14ac:dyDescent="0.2">
      <c r="B177" s="5" t="b">
        <v>0</v>
      </c>
      <c r="C177" s="16" t="s">
        <v>166</v>
      </c>
      <c r="E177" s="28" t="str">
        <f ca="1">IFERROR(FormatTimeSpan(NOW()-LOOKUP(2,1/(F177:ZZ177&lt;&gt;""),F177:ZZ177)),"")</f>
        <v>8天6小时20分50秒</v>
      </c>
      <c r="F177" s="20">
        <v>45901.496736111112</v>
      </c>
      <c r="G177" s="20">
        <v>45902.377314814818</v>
      </c>
      <c r="H177" s="20">
        <v>45903.630358796298</v>
      </c>
      <c r="I177" s="20">
        <v>45907.856099537035</v>
      </c>
      <c r="J177" s="20">
        <v>45916.668402777781</v>
      </c>
    </row>
    <row r="178" spans="2:10" x14ac:dyDescent="0.2">
      <c r="B178" s="5" t="b">
        <v>0</v>
      </c>
      <c r="C178" s="16" t="s">
        <v>167</v>
      </c>
      <c r="E178" s="28" t="str">
        <f ca="1">IFERROR(FormatTimeSpan(NOW()-LOOKUP(2,1/(F178:ZZ178&lt;&gt;""),F178:ZZ178)),"")</f>
        <v>8天6小时10分45秒</v>
      </c>
      <c r="F178" s="20">
        <v>45901.500613425924</v>
      </c>
      <c r="G178" s="20">
        <v>45902.381643518522</v>
      </c>
      <c r="H178" s="20">
        <v>45903.633946759262</v>
      </c>
      <c r="I178" s="20">
        <v>45907.858761574076</v>
      </c>
      <c r="J178" s="20">
        <v>45916.675405092596</v>
      </c>
    </row>
    <row r="179" spans="2:10" x14ac:dyDescent="0.2">
      <c r="B179" s="5" t="b">
        <v>0</v>
      </c>
      <c r="C179" s="16" t="s">
        <v>380</v>
      </c>
      <c r="E179" s="28" t="str">
        <f ca="1">IFERROR(FormatTimeSpan(NOW()-LOOKUP(2,1/(F179:ZZ179&lt;&gt;""),F179:ZZ179)),"")</f>
        <v>6天11小时32分1秒</v>
      </c>
      <c r="F179" s="20">
        <v>45902.028449074074</v>
      </c>
      <c r="G179" s="20">
        <v>45902.744826388887</v>
      </c>
      <c r="H179" s="20">
        <v>45905.478703703702</v>
      </c>
      <c r="I179" s="20">
        <v>45909.454247685186</v>
      </c>
      <c r="J179" s="20">
        <v>45918.452303240738</v>
      </c>
    </row>
    <row r="180" spans="2:10" x14ac:dyDescent="0.2">
      <c r="B180" s="5" t="b">
        <v>0</v>
      </c>
      <c r="C180" s="16" t="s">
        <v>168</v>
      </c>
      <c r="E180" s="28" t="str">
        <f ca="1">IFERROR(FormatTimeSpan(NOW()-LOOKUP(2,1/(F180:ZZ180&lt;&gt;""),F180:ZZ180)),"")</f>
        <v>6天11小时23分17秒</v>
      </c>
      <c r="F180" s="20">
        <v>45902.032314814816</v>
      </c>
      <c r="G180" s="20">
        <v>45902.746712962966</v>
      </c>
      <c r="H180" s="20">
        <v>45905.48164351852</v>
      </c>
      <c r="I180" s="20">
        <v>45909.457986111112</v>
      </c>
      <c r="J180" s="20">
        <v>45918.458368055559</v>
      </c>
    </row>
    <row r="181" spans="2:10" x14ac:dyDescent="0.2">
      <c r="B181" s="5" t="b">
        <v>0</v>
      </c>
      <c r="C181" s="16" t="s">
        <v>169</v>
      </c>
      <c r="E181" s="28" t="str">
        <f ca="1">IFERROR(FormatTimeSpan(NOW()-LOOKUP(2,1/(F181:ZZ181&lt;&gt;""),F181:ZZ181)),"")</f>
        <v>6天11小时17分34秒</v>
      </c>
      <c r="F181" s="20">
        <v>45902.034236111111</v>
      </c>
      <c r="G181" s="20">
        <v>45902.747395833336</v>
      </c>
      <c r="H181" s="20">
        <v>45905.485254629632</v>
      </c>
      <c r="I181" s="20">
        <v>45909.459907407407</v>
      </c>
      <c r="J181" s="20">
        <v>45918.462337962963</v>
      </c>
    </row>
    <row r="182" spans="2:10" x14ac:dyDescent="0.2">
      <c r="B182" s="5" t="b">
        <v>0</v>
      </c>
      <c r="C182" s="16" t="s">
        <v>199</v>
      </c>
      <c r="E182" s="28" t="str">
        <f ca="1">IFERROR(FormatTimeSpan(NOW()-LOOKUP(2,1/(F182:ZZ182&lt;&gt;""),F182:ZZ182)),"")</f>
        <v>6天11小时14分23秒</v>
      </c>
      <c r="F182" s="20">
        <v>45902.035671296297</v>
      </c>
      <c r="G182" s="20">
        <v>45902.748761574076</v>
      </c>
      <c r="H182" s="20">
        <v>45905.488437499997</v>
      </c>
      <c r="I182" s="20">
        <v>45909.461678240739</v>
      </c>
      <c r="J182" s="20">
        <v>45918.464548611111</v>
      </c>
    </row>
    <row r="183" spans="2:10" x14ac:dyDescent="0.2">
      <c r="B183" s="5" t="b">
        <v>0</v>
      </c>
      <c r="C183" s="16" t="s">
        <v>170</v>
      </c>
      <c r="E183" s="28" t="str">
        <f ca="1">IFERROR(FormatTimeSpan(NOW()-LOOKUP(2,1/(F183:ZZ183&lt;&gt;""),F183:ZZ183)),"")</f>
        <v>6天11小时5分43秒</v>
      </c>
      <c r="F183" s="20">
        <v>45902.040543981479</v>
      </c>
      <c r="G183" s="20">
        <v>45902.750069444446</v>
      </c>
      <c r="H183" s="20">
        <v>45905.490902777776</v>
      </c>
      <c r="I183" s="20">
        <v>45909.464386574073</v>
      </c>
      <c r="J183" s="20">
        <v>45918.470567129632</v>
      </c>
    </row>
    <row r="184" spans="2:10" x14ac:dyDescent="0.2">
      <c r="B184" s="5" t="b">
        <v>0</v>
      </c>
      <c r="C184" s="16" t="s">
        <v>203</v>
      </c>
      <c r="E184" s="28" t="str">
        <f ca="1">IFERROR(FormatTimeSpan(NOW()-LOOKUP(2,1/(F184:ZZ184&lt;&gt;""),F184:ZZ184)),"")</f>
        <v>6天11小时1分48秒</v>
      </c>
      <c r="F184" s="20">
        <v>45902.885358796295</v>
      </c>
      <c r="G184" s="20">
        <v>45903.635844907411</v>
      </c>
      <c r="H184" s="20">
        <v>45905.615590277775</v>
      </c>
      <c r="I184" s="20">
        <v>45909.468761574077</v>
      </c>
      <c r="J184" s="20">
        <v>45918.473287037035</v>
      </c>
    </row>
    <row r="185" spans="2:10" x14ac:dyDescent="0.2">
      <c r="B185" s="5" t="b">
        <v>0</v>
      </c>
      <c r="C185" s="16" t="s">
        <v>200</v>
      </c>
      <c r="E185" s="28" t="str">
        <f ca="1">IFERROR(FormatTimeSpan(NOW()-LOOKUP(2,1/(F185:ZZ185&lt;&gt;""),F185:ZZ185)),"")</f>
        <v>6天11小时36秒</v>
      </c>
      <c r="F185" s="20">
        <v>45902.88616898148</v>
      </c>
      <c r="G185" s="20">
        <v>45903.63616898148</v>
      </c>
      <c r="H185" s="20">
        <v>45905.615925925929</v>
      </c>
      <c r="I185" s="20">
        <v>45909.470023148147</v>
      </c>
      <c r="J185" s="20">
        <v>45918.474120370367</v>
      </c>
    </row>
    <row r="186" spans="2:10" x14ac:dyDescent="0.2">
      <c r="B186" s="5" t="b">
        <v>0</v>
      </c>
      <c r="C186" s="16" t="s">
        <v>213</v>
      </c>
      <c r="E186" s="28" t="str">
        <f ca="1">IFERROR(FormatTimeSpan(NOW()-LOOKUP(2,1/(F186:ZZ186&lt;&gt;""),F186:ZZ186)),"")</f>
        <v>6天10小时58分44秒</v>
      </c>
      <c r="F186" s="20">
        <v>45902.886782407404</v>
      </c>
      <c r="G186" s="20">
        <v>45903.636655092596</v>
      </c>
      <c r="H186" s="20">
        <v>45905.617106481484</v>
      </c>
      <c r="I186" s="20">
        <v>45909.470694444448</v>
      </c>
      <c r="J186" s="20">
        <v>45918.475416666668</v>
      </c>
    </row>
    <row r="187" spans="2:10" x14ac:dyDescent="0.2">
      <c r="B187" s="5" t="b">
        <v>0</v>
      </c>
      <c r="C187" s="16" t="s">
        <v>201</v>
      </c>
      <c r="E187" s="28" t="str">
        <f ca="1">IFERROR(FormatTimeSpan(NOW()-LOOKUP(2,1/(F187:ZZ187&lt;&gt;""),F187:ZZ187)),"")</f>
        <v>6天10小时57分26秒</v>
      </c>
      <c r="F187" s="20">
        <v>45902.888645833336</v>
      </c>
      <c r="G187" s="20">
        <v>45903.637476851851</v>
      </c>
      <c r="H187" s="20">
        <v>45905.617627314816</v>
      </c>
      <c r="I187" s="20">
        <v>45909.471539351849</v>
      </c>
      <c r="J187" s="20">
        <v>45918.476319444446</v>
      </c>
    </row>
    <row r="188" spans="2:10" x14ac:dyDescent="0.2">
      <c r="B188" s="5" t="b">
        <v>0</v>
      </c>
      <c r="C188" s="16" t="s">
        <v>202</v>
      </c>
      <c r="E188" s="28" t="str">
        <f ca="1">IFERROR(FormatTimeSpan(NOW()-LOOKUP(2,1/(F188:ZZ188&lt;&gt;""),F188:ZZ188)),"")</f>
        <v>6天10小时55分17秒</v>
      </c>
      <c r="F188" s="20">
        <v>45902.889780092592</v>
      </c>
      <c r="G188" s="20">
        <v>45903.638425925928</v>
      </c>
      <c r="H188" s="20">
        <v>45905.618333333332</v>
      </c>
      <c r="I188" s="20">
        <v>45909.472326388888</v>
      </c>
      <c r="J188" s="20">
        <v>45918.477812500001</v>
      </c>
    </row>
    <row r="189" spans="2:10" x14ac:dyDescent="0.2">
      <c r="B189" s="5" t="b">
        <v>0</v>
      </c>
      <c r="C189" s="16" t="s">
        <v>171</v>
      </c>
      <c r="E189" s="28" t="str">
        <f ca="1">IFERROR(FormatTimeSpan(NOW()-LOOKUP(2,1/(F189:ZZ189&lt;&gt;""),F189:ZZ189)),"")</f>
        <v>6天10小时54分43秒</v>
      </c>
      <c r="F189" s="20">
        <v>45902.890243055554</v>
      </c>
      <c r="G189" s="20">
        <v>45903.638749999998</v>
      </c>
      <c r="H189" s="20">
        <v>45905.61859953704</v>
      </c>
      <c r="I189" s="20">
        <v>45909.472592592596</v>
      </c>
      <c r="J189" s="20">
        <v>45918.478206018517</v>
      </c>
    </row>
    <row r="190" spans="2:10" x14ac:dyDescent="0.2">
      <c r="B190" s="5" t="b">
        <v>0</v>
      </c>
      <c r="C190" s="16" t="s">
        <v>214</v>
      </c>
      <c r="E190" s="28" t="str">
        <f ca="1">IFERROR(FormatTimeSpan(NOW()-LOOKUP(2,1/(F190:ZZ190&lt;&gt;""),F190:ZZ190)),"")</f>
        <v>6天10小时53分8秒</v>
      </c>
      <c r="F190" s="20">
        <v>45902.891168981485</v>
      </c>
      <c r="G190" s="20">
        <v>45903.639722222222</v>
      </c>
      <c r="H190" s="20">
        <v>45905.619189814817</v>
      </c>
      <c r="I190" s="20">
        <v>45909.473634259259</v>
      </c>
      <c r="J190" s="20">
        <v>45918.479305555556</v>
      </c>
    </row>
    <row r="191" spans="2:10" x14ac:dyDescent="0.2">
      <c r="B191" s="5" t="b">
        <v>0</v>
      </c>
      <c r="C191" s="16" t="s">
        <v>204</v>
      </c>
      <c r="E191" s="28" t="str">
        <f ca="1">IFERROR(FormatTimeSpan(NOW()-LOOKUP(2,1/(F191:ZZ191&lt;&gt;""),F191:ZZ191)),"")</f>
        <v>6天10小时51分35秒</v>
      </c>
      <c r="F191" s="20">
        <v>45902.892129629632</v>
      </c>
      <c r="G191" s="20">
        <v>45903.641365740739</v>
      </c>
      <c r="H191" s="20">
        <v>45905.61991898148</v>
      </c>
      <c r="I191" s="20">
        <v>45909.476331018515</v>
      </c>
      <c r="J191" s="20">
        <v>45918.480381944442</v>
      </c>
    </row>
    <row r="192" spans="2:10" x14ac:dyDescent="0.2">
      <c r="B192" s="5" t="b">
        <v>0</v>
      </c>
      <c r="C192" s="16" t="s">
        <v>205</v>
      </c>
      <c r="E192" s="28" t="str">
        <f ca="1">IFERROR(FormatTimeSpan(NOW()-LOOKUP(2,1/(F192:ZZ192&lt;&gt;""),F192:ZZ192)),"")</f>
        <v>6天10小时48分31秒</v>
      </c>
      <c r="F192" s="20">
        <v>45902.893553240741</v>
      </c>
      <c r="G192" s="20">
        <v>45903.642094907409</v>
      </c>
      <c r="H192" s="20">
        <v>45905.621689814812</v>
      </c>
      <c r="I192" s="20">
        <v>45909.477951388886</v>
      </c>
      <c r="J192" s="20">
        <v>45918.482511574075</v>
      </c>
    </row>
    <row r="193" spans="2:10" x14ac:dyDescent="0.2">
      <c r="B193" s="5" t="b">
        <v>0</v>
      </c>
      <c r="C193" s="16" t="s">
        <v>206</v>
      </c>
      <c r="E193" s="28" t="str">
        <f ca="1">IFERROR(FormatTimeSpan(NOW()-LOOKUP(2,1/(F193:ZZ193&lt;&gt;""),F193:ZZ193)),"")</f>
        <v>6天10小时47分14秒</v>
      </c>
      <c r="F193" s="20">
        <v>45902.894062500003</v>
      </c>
      <c r="G193" s="20">
        <v>45903.642488425925</v>
      </c>
      <c r="H193" s="20">
        <v>45905.623541666668</v>
      </c>
      <c r="I193" s="20">
        <v>45909.478692129633</v>
      </c>
      <c r="J193" s="20">
        <v>45918.483402777776</v>
      </c>
    </row>
    <row r="194" spans="2:10" x14ac:dyDescent="0.2">
      <c r="B194" s="5" t="b">
        <v>0</v>
      </c>
      <c r="C194" s="16" t="s">
        <v>215</v>
      </c>
      <c r="E194" s="28" t="str">
        <f ca="1">IFERROR(FormatTimeSpan(NOW()-LOOKUP(2,1/(F194:ZZ194&lt;&gt;""),F194:ZZ194)),"")</f>
        <v>6天10小时37分13秒</v>
      </c>
      <c r="F194" s="20">
        <v>45902.897858796299</v>
      </c>
      <c r="G194" s="20">
        <v>45903.646377314813</v>
      </c>
      <c r="H194" s="20">
        <v>45905.628113425926</v>
      </c>
      <c r="I194" s="20">
        <v>45909.488692129627</v>
      </c>
      <c r="J194" s="20">
        <v>45918.490358796298</v>
      </c>
    </row>
    <row r="195" spans="2:10" x14ac:dyDescent="0.2">
      <c r="B195" s="5" t="b">
        <v>0</v>
      </c>
      <c r="C195" s="16" t="s">
        <v>207</v>
      </c>
      <c r="E195" s="28" t="str">
        <f ca="1">IFERROR(FormatTimeSpan(NOW()-LOOKUP(2,1/(F195:ZZ195&lt;&gt;""),F195:ZZ195)),"")</f>
        <v>6天10小时34分15秒</v>
      </c>
      <c r="F195" s="20">
        <v>45902.899641203701</v>
      </c>
      <c r="G195" s="20">
        <v>45903.649317129632</v>
      </c>
      <c r="H195" s="20">
        <v>45905.629074074073</v>
      </c>
      <c r="I195" s="20">
        <v>45909.490879629629</v>
      </c>
      <c r="J195" s="20">
        <v>45918.492418981485</v>
      </c>
    </row>
    <row r="196" spans="2:10" x14ac:dyDescent="0.2">
      <c r="B196" s="5" t="b">
        <v>0</v>
      </c>
      <c r="C196" s="16" t="s">
        <v>208</v>
      </c>
      <c r="E196" s="28" t="str">
        <f ca="1">IFERROR(FormatTimeSpan(NOW()-LOOKUP(2,1/(F196:ZZ196&lt;&gt;""),F196:ZZ196)),"")</f>
        <v>6天10小时33分5秒</v>
      </c>
      <c r="F196" s="20">
        <v>45902.900509259256</v>
      </c>
      <c r="G196" s="20">
        <v>45903.653182870374</v>
      </c>
      <c r="H196" s="20">
        <v>45905.630798611113</v>
      </c>
      <c r="I196" s="20">
        <v>45909.492025462961</v>
      </c>
      <c r="J196" s="20">
        <v>45918.49322916667</v>
      </c>
    </row>
    <row r="197" spans="2:10" x14ac:dyDescent="0.2">
      <c r="B197" s="5" t="b">
        <v>0</v>
      </c>
      <c r="C197" s="16" t="s">
        <v>209</v>
      </c>
      <c r="E197" s="28" t="str">
        <f ca="1">IFERROR(FormatTimeSpan(NOW()-LOOKUP(2,1/(F197:ZZ197&lt;&gt;""),F197:ZZ197)),"")</f>
        <v>6天10小时29分7秒</v>
      </c>
      <c r="F197" s="20">
        <v>45902.903148148151</v>
      </c>
      <c r="G197" s="20">
        <v>45903.655277777776</v>
      </c>
      <c r="H197" s="20">
        <v>45905.632210648146</v>
      </c>
      <c r="I197" s="20">
        <v>45909.493125000001</v>
      </c>
      <c r="J197" s="20">
        <v>45918.495983796296</v>
      </c>
    </row>
    <row r="198" spans="2:10" x14ac:dyDescent="0.2">
      <c r="B198" s="5" t="b">
        <v>0</v>
      </c>
      <c r="C198" s="16" t="s">
        <v>210</v>
      </c>
      <c r="E198" s="28" t="str">
        <f ca="1">IFERROR(FormatTimeSpan(NOW()-LOOKUP(2,1/(F198:ZZ198&lt;&gt;""),F198:ZZ198)),"")</f>
        <v>6天10小时27分20秒</v>
      </c>
      <c r="F198" s="20">
        <v>45902.904074074075</v>
      </c>
      <c r="G198" s="20">
        <v>45903.655659722222</v>
      </c>
      <c r="H198" s="20">
        <v>45905.633483796293</v>
      </c>
      <c r="I198" s="20">
        <v>45909.493587962963</v>
      </c>
      <c r="J198" s="20">
        <v>45918.49722222222</v>
      </c>
    </row>
    <row r="199" spans="2:10" x14ac:dyDescent="0.2">
      <c r="B199" s="5" t="b">
        <v>0</v>
      </c>
      <c r="C199" s="16" t="s">
        <v>211</v>
      </c>
      <c r="E199" s="28" t="str">
        <f ca="1">IFERROR(FormatTimeSpan(NOW()-LOOKUP(2,1/(F199:ZZ199&lt;&gt;""),F199:ZZ199)),"")</f>
        <v>6天10小时25分34秒</v>
      </c>
      <c r="F199" s="20">
        <v>45902.906481481485</v>
      </c>
      <c r="G199" s="20">
        <v>45903.657372685186</v>
      </c>
      <c r="H199" s="20">
        <v>45905.633993055555</v>
      </c>
      <c r="I199" s="20">
        <v>45909.494421296295</v>
      </c>
      <c r="J199" s="20">
        <v>45918.498449074075</v>
      </c>
    </row>
    <row r="200" spans="2:10" x14ac:dyDescent="0.2">
      <c r="B200" s="5" t="b">
        <v>0</v>
      </c>
      <c r="C200" s="16" t="s">
        <v>212</v>
      </c>
      <c r="E200" s="28" t="str">
        <f ca="1">IFERROR(FormatTimeSpan(NOW()-LOOKUP(2,1/(F200:ZZ200&lt;&gt;""),F200:ZZ200)),"")</f>
        <v>6天10小时24分10秒</v>
      </c>
      <c r="F200" s="20">
        <v>45902.907476851855</v>
      </c>
      <c r="G200" s="20">
        <v>45903.657986111109</v>
      </c>
      <c r="H200" s="20">
        <v>45905.634687500002</v>
      </c>
      <c r="I200" s="20">
        <v>45909.495092592595</v>
      </c>
      <c r="J200" s="20">
        <v>45918.499421296299</v>
      </c>
    </row>
    <row r="201" spans="2:10" x14ac:dyDescent="0.2">
      <c r="B201" s="5" t="b">
        <v>0</v>
      </c>
      <c r="C201" s="16" t="s">
        <v>172</v>
      </c>
      <c r="E201" s="22" t="str">
        <f ca="1">IFERROR(FormatTimeSpan(NOW()-LOOKUP(2,1/(F201:ZZ201&lt;&gt;""),F201:ZZ201)),"")</f>
        <v>13天11小时38分46秒</v>
      </c>
      <c r="F201" s="20">
        <v>45903.850671296299</v>
      </c>
      <c r="G201" s="20">
        <v>45905.645682870374</v>
      </c>
      <c r="H201" s="20">
        <v>45908.407731481479</v>
      </c>
      <c r="I201" s="20">
        <v>45911.447615740741</v>
      </c>
    </row>
    <row r="202" spans="2:10" x14ac:dyDescent="0.2">
      <c r="B202" s="5" t="b">
        <v>0</v>
      </c>
      <c r="C202" s="16" t="s">
        <v>173</v>
      </c>
      <c r="E202" s="22" t="str">
        <f ca="1">IFERROR(FormatTimeSpan(NOW()-LOOKUP(2,1/(F202:ZZ202&lt;&gt;""),F202:ZZ202)),"")</f>
        <v>13天11小时35分42秒</v>
      </c>
      <c r="F202" s="20">
        <v>45903.851747685185</v>
      </c>
      <c r="G202" s="20">
        <v>45905.648194444446</v>
      </c>
      <c r="H202" s="20">
        <v>45908.409143518518</v>
      </c>
      <c r="I202" s="20">
        <v>45911.449745370373</v>
      </c>
    </row>
    <row r="203" spans="2:10" x14ac:dyDescent="0.2">
      <c r="B203" s="5" t="b">
        <v>0</v>
      </c>
      <c r="C203" s="16" t="s">
        <v>174</v>
      </c>
      <c r="E203" s="22" t="str">
        <f ca="1">IFERROR(FormatTimeSpan(NOW()-LOOKUP(2,1/(F203:ZZ203&lt;&gt;""),F203:ZZ203)),"")</f>
        <v>13天11小时34分55秒</v>
      </c>
      <c r="F203" s="20">
        <v>45903.853414351855</v>
      </c>
      <c r="G203" s="20">
        <v>45905.649826388886</v>
      </c>
      <c r="H203" s="20">
        <v>45908.409502314818</v>
      </c>
      <c r="I203" s="20">
        <v>45911.450289351851</v>
      </c>
    </row>
    <row r="204" spans="2:10" x14ac:dyDescent="0.2">
      <c r="B204" s="5" t="b">
        <v>0</v>
      </c>
      <c r="C204" s="16" t="s">
        <v>175</v>
      </c>
      <c r="E204" s="22" t="str">
        <f ca="1">IFERROR(FormatTimeSpan(NOW()-LOOKUP(2,1/(F204:ZZ204&lt;&gt;""),F204:ZZ204)),"")</f>
        <v>13天11小时34分15秒</v>
      </c>
      <c r="F204" s="20">
        <v>45903.854895833334</v>
      </c>
      <c r="G204" s="20">
        <v>45905.650405092594</v>
      </c>
      <c r="H204" s="20">
        <v>45908.410034722219</v>
      </c>
      <c r="I204" s="20">
        <v>45911.450752314813</v>
      </c>
    </row>
    <row r="205" spans="2:10" x14ac:dyDescent="0.2">
      <c r="B205" s="5" t="b">
        <v>0</v>
      </c>
      <c r="C205" s="16" t="s">
        <v>176</v>
      </c>
      <c r="E205" s="22" t="str">
        <f ca="1">IFERROR(FormatTimeSpan(NOW()-LOOKUP(2,1/(F205:ZZ205&lt;&gt;""),F205:ZZ205)),"")</f>
        <v>13天11小时33分51秒</v>
      </c>
      <c r="F205" s="20">
        <v>45903.855381944442</v>
      </c>
      <c r="G205" s="20">
        <v>45905.650613425925</v>
      </c>
      <c r="H205" s="20">
        <v>45908.413124999999</v>
      </c>
      <c r="I205" s="20">
        <v>45911.45103009259</v>
      </c>
    </row>
    <row r="206" spans="2:10" x14ac:dyDescent="0.2">
      <c r="B206" s="5" t="b">
        <v>0</v>
      </c>
      <c r="C206" s="16" t="s">
        <v>177</v>
      </c>
      <c r="E206" s="22" t="str">
        <f ca="1">IFERROR(FormatTimeSpan(NOW()-LOOKUP(2,1/(F206:ZZ206&lt;&gt;""),F206:ZZ206)),"")</f>
        <v>13天11小时33分19秒</v>
      </c>
      <c r="F206" s="20">
        <v>45903.855925925927</v>
      </c>
      <c r="G206" s="20">
        <v>45905.651550925926</v>
      </c>
      <c r="H206" s="20">
        <v>45908.4140162037</v>
      </c>
      <c r="I206" s="20">
        <v>45911.45140046296</v>
      </c>
    </row>
    <row r="207" spans="2:10" x14ac:dyDescent="0.2">
      <c r="B207" s="5" t="b">
        <v>0</v>
      </c>
      <c r="C207" s="16" t="s">
        <v>178</v>
      </c>
      <c r="E207" s="22" t="str">
        <f ca="1">IFERROR(FormatTimeSpan(NOW()-LOOKUP(2,1/(F207:ZZ207&lt;&gt;""),F207:ZZ207)),"")</f>
        <v>13天11小时30分41秒</v>
      </c>
      <c r="F207" s="20">
        <v>45903.85665509259</v>
      </c>
      <c r="G207" s="20">
        <v>45905.652349537035</v>
      </c>
      <c r="H207" s="20">
        <v>45908.414861111109</v>
      </c>
      <c r="I207" s="20">
        <v>45911.453229166669</v>
      </c>
    </row>
    <row r="208" spans="2:10" x14ac:dyDescent="0.2">
      <c r="B208" s="5" t="b">
        <v>0</v>
      </c>
      <c r="C208" s="16" t="s">
        <v>179</v>
      </c>
      <c r="E208" s="22" t="str">
        <f ca="1">IFERROR(FormatTimeSpan(NOW()-LOOKUP(2,1/(F208:ZZ208&lt;&gt;""),F208:ZZ208)),"")</f>
        <v>13天11小时29分42秒</v>
      </c>
      <c r="F208" s="20">
        <v>45903.862754629627</v>
      </c>
      <c r="G208" s="20">
        <v>45905.654560185183</v>
      </c>
      <c r="H208" s="20">
        <v>45908.433935185189</v>
      </c>
      <c r="I208" s="20">
        <v>45911.453912037039</v>
      </c>
    </row>
    <row r="209" spans="1:9" x14ac:dyDescent="0.2">
      <c r="B209" s="5" t="b">
        <v>0</v>
      </c>
      <c r="C209" s="16" t="s">
        <v>180</v>
      </c>
      <c r="E209" s="22" t="str">
        <f ca="1">IFERROR(FormatTimeSpan(NOW()-LOOKUP(2,1/(F209:ZZ209&lt;&gt;""),F209:ZZ209)),"")</f>
        <v>13天11小时26分60秒</v>
      </c>
      <c r="F209" s="20">
        <v>45903.864502314813</v>
      </c>
      <c r="G209" s="20">
        <v>45905.655162037037</v>
      </c>
      <c r="H209" s="20">
        <v>45908.435046296298</v>
      </c>
      <c r="I209" s="20">
        <v>45911.455787037034</v>
      </c>
    </row>
    <row r="210" spans="1:9" x14ac:dyDescent="0.2">
      <c r="B210" s="5" t="b">
        <v>0</v>
      </c>
      <c r="C210" s="16" t="s">
        <v>181</v>
      </c>
      <c r="E210" s="22" t="str">
        <f ca="1">IFERROR(FormatTimeSpan(NOW()-LOOKUP(2,1/(F210:ZZ210&lt;&gt;""),F210:ZZ210)),"")</f>
        <v>13天11小时25分47秒</v>
      </c>
      <c r="F210" s="20">
        <v>45903.867523148147</v>
      </c>
      <c r="G210" s="20">
        <v>45905.656747685185</v>
      </c>
      <c r="H210" s="20">
        <v>45908.436192129629</v>
      </c>
      <c r="I210" s="20">
        <v>45911.456631944442</v>
      </c>
    </row>
    <row r="211" spans="1:9" x14ac:dyDescent="0.2">
      <c r="B211" s="5" t="b">
        <v>0</v>
      </c>
      <c r="C211" s="16" t="s">
        <v>182</v>
      </c>
      <c r="E211" s="22" t="str">
        <f ca="1">IFERROR(FormatTimeSpan(NOW()-LOOKUP(2,1/(F211:ZZ211&lt;&gt;""),F211:ZZ211)),"")</f>
        <v>13天11小时23分21秒</v>
      </c>
      <c r="F211" s="20">
        <v>45903.871770833335</v>
      </c>
      <c r="G211" s="20">
        <v>45905.660509259258</v>
      </c>
      <c r="H211" s="20">
        <v>45908.440127314818</v>
      </c>
      <c r="I211" s="20">
        <v>45911.458321759259</v>
      </c>
    </row>
    <row r="212" spans="1:9" x14ac:dyDescent="0.2">
      <c r="B212" s="5" t="b">
        <v>0</v>
      </c>
      <c r="C212" s="16" t="s">
        <v>217</v>
      </c>
      <c r="E212" s="22" t="str">
        <f ca="1">IFERROR(FormatTimeSpan(NOW()-LOOKUP(2,1/(F212:ZZ212&lt;&gt;""),F212:ZZ212)),"")</f>
        <v>13天11小时22分1秒</v>
      </c>
      <c r="F212" s="20">
        <v>45904.641608796293</v>
      </c>
      <c r="G212" s="20">
        <v>45905.663645833331</v>
      </c>
      <c r="H212" s="20">
        <v>45908.442824074074</v>
      </c>
      <c r="I212" s="20">
        <v>45911.459247685183</v>
      </c>
    </row>
    <row r="213" spans="1:9" x14ac:dyDescent="0.2">
      <c r="B213" s="5" t="b">
        <v>0</v>
      </c>
      <c r="C213" s="16" t="s">
        <v>183</v>
      </c>
      <c r="E213" s="22" t="str">
        <f ca="1">IFERROR(FormatTimeSpan(NOW()-LOOKUP(2,1/(F213:ZZ213&lt;&gt;""),F213:ZZ213)),"")</f>
        <v>13天11小时17分42秒</v>
      </c>
      <c r="F213" s="20">
        <v>45904.646284722221</v>
      </c>
      <c r="G213" s="20">
        <v>45905.666620370372</v>
      </c>
      <c r="H213" s="20">
        <v>45908.451666666668</v>
      </c>
      <c r="I213" s="20">
        <v>45911.462245370371</v>
      </c>
    </row>
    <row r="214" spans="1:9" x14ac:dyDescent="0.2">
      <c r="B214" s="5" t="b">
        <v>0</v>
      </c>
      <c r="C214" s="16" t="s">
        <v>218</v>
      </c>
      <c r="E214" s="22" t="str">
        <f ca="1">IFERROR(FormatTimeSpan(NOW()-LOOKUP(2,1/(F214:ZZ214&lt;&gt;""),F214:ZZ214)),"")</f>
        <v>13天11小时14分23秒</v>
      </c>
      <c r="F214" s="20">
        <v>45904.647893518515</v>
      </c>
      <c r="G214" s="20">
        <v>45905.671956018516</v>
      </c>
      <c r="H214" s="20">
        <v>45908.454861111109</v>
      </c>
      <c r="I214" s="20">
        <v>45911.464548611111</v>
      </c>
    </row>
    <row r="215" spans="1:9" x14ac:dyDescent="0.2">
      <c r="B215" s="5" t="b">
        <v>0</v>
      </c>
      <c r="C215" s="16" t="s">
        <v>184</v>
      </c>
      <c r="E215" s="22" t="str">
        <f ca="1">IFERROR(FormatTimeSpan(NOW()-LOOKUP(2,1/(F215:ZZ215&lt;&gt;""),F215:ZZ215)),"")</f>
        <v>13天11小时13分17秒</v>
      </c>
      <c r="F215" s="20">
        <v>45904.64880787037</v>
      </c>
      <c r="G215" s="20">
        <v>45905.673819444448</v>
      </c>
      <c r="H215" s="20">
        <v>45908.455474537041</v>
      </c>
      <c r="I215" s="20">
        <v>45911.465312499997</v>
      </c>
    </row>
    <row r="216" spans="1:9" x14ac:dyDescent="0.2">
      <c r="B216" s="5" t="b">
        <v>0</v>
      </c>
      <c r="C216" s="16" t="s">
        <v>185</v>
      </c>
      <c r="E216" s="22" t="str">
        <f ca="1">IFERROR(FormatTimeSpan(NOW()-LOOKUP(2,1/(F216:ZZ216&lt;&gt;""),F216:ZZ216)),"")</f>
        <v>13天11小时8分29秒</v>
      </c>
      <c r="F216" s="20">
        <v>45904.649664351855</v>
      </c>
      <c r="G216" s="20">
        <v>45905.674872685187</v>
      </c>
      <c r="H216" s="20">
        <v>45908.45689814815</v>
      </c>
      <c r="I216" s="20">
        <v>45911.468645833331</v>
      </c>
    </row>
    <row r="217" spans="1:9" x14ac:dyDescent="0.2">
      <c r="B217" s="5" t="b">
        <v>0</v>
      </c>
      <c r="C217" s="16" t="s">
        <v>186</v>
      </c>
      <c r="E217" s="22" t="str">
        <f ca="1">IFERROR(FormatTimeSpan(NOW()-LOOKUP(2,1/(F217:ZZ217&lt;&gt;""),F217:ZZ217)),"")</f>
        <v>13天11小时6分24秒</v>
      </c>
      <c r="F217" s="20">
        <v>45904.766504629632</v>
      </c>
      <c r="G217" s="20">
        <v>45905.676064814812</v>
      </c>
      <c r="H217" s="20">
        <v>45908.457314814812</v>
      </c>
      <c r="I217" s="20">
        <v>45911.470092592594</v>
      </c>
    </row>
    <row r="218" spans="1:9" x14ac:dyDescent="0.2">
      <c r="B218" s="5" t="b">
        <v>0</v>
      </c>
      <c r="C218" s="16" t="s">
        <v>187</v>
      </c>
      <c r="E218" s="22" t="str">
        <f ca="1">IFERROR(FormatTimeSpan(NOW()-LOOKUP(2,1/(F218:ZZ218&lt;&gt;""),F218:ZZ218)),"")</f>
        <v>13天11小时4分55秒</v>
      </c>
      <c r="F218" s="20">
        <v>45904.767523148148</v>
      </c>
      <c r="G218" s="20">
        <v>45905.677152777775</v>
      </c>
      <c r="H218" s="20">
        <v>45908.460023148145</v>
      </c>
      <c r="I218" s="20">
        <v>45911.471122685187</v>
      </c>
    </row>
    <row r="219" spans="1:9" x14ac:dyDescent="0.2">
      <c r="B219" s="5" t="b">
        <v>0</v>
      </c>
      <c r="C219" s="16" t="s">
        <v>188</v>
      </c>
      <c r="E219" s="22" t="str">
        <f ca="1">IFERROR(FormatTimeSpan(NOW()-LOOKUP(2,1/(F219:ZZ219&lt;&gt;""),F219:ZZ219)),"")</f>
        <v>13天11小时1分1秒</v>
      </c>
      <c r="F219" s="20">
        <v>45904.769016203703</v>
      </c>
      <c r="G219" s="20">
        <v>45905.678020833337</v>
      </c>
      <c r="H219" s="20">
        <v>45908.461817129632</v>
      </c>
      <c r="I219" s="20">
        <v>45911.47383101852</v>
      </c>
    </row>
    <row r="220" spans="1:9" x14ac:dyDescent="0.2">
      <c r="B220" s="5" t="b">
        <v>0</v>
      </c>
      <c r="C220" s="16" t="s">
        <v>189</v>
      </c>
      <c r="E220" s="22" t="str">
        <f ca="1">IFERROR(FormatTimeSpan(NOW()-LOOKUP(2,1/(F220:ZZ220&lt;&gt;""),F220:ZZ220)),"")</f>
        <v>13天10小时58分25秒</v>
      </c>
      <c r="F220" s="20">
        <v>45904.770868055559</v>
      </c>
      <c r="G220" s="20">
        <v>45905.679629629631</v>
      </c>
      <c r="H220" s="20">
        <v>45908.462523148148</v>
      </c>
      <c r="I220" s="20">
        <v>45911.475636574076</v>
      </c>
    </row>
    <row r="221" spans="1:9" x14ac:dyDescent="0.2">
      <c r="B221" s="5" t="b">
        <v>0</v>
      </c>
      <c r="C221" s="16" t="s">
        <v>190</v>
      </c>
      <c r="E221" s="22" t="str">
        <f ca="1">IFERROR(FormatTimeSpan(NOW()-LOOKUP(2,1/(F221:ZZ221&lt;&gt;""),F221:ZZ221)),"")</f>
        <v>13天10小时56分58秒</v>
      </c>
      <c r="F221" s="20">
        <v>45904.77138888889</v>
      </c>
      <c r="G221" s="20">
        <v>45905.680196759262</v>
      </c>
      <c r="H221" s="20">
        <v>45908.463020833333</v>
      </c>
      <c r="I221" s="20">
        <v>45911.476643518516</v>
      </c>
    </row>
    <row r="222" spans="1:9" x14ac:dyDescent="0.2">
      <c r="B222" s="5" t="b">
        <v>0</v>
      </c>
      <c r="C222" s="16" t="s">
        <v>191</v>
      </c>
      <c r="E222" s="22" t="str">
        <f ca="1">IFERROR(FormatTimeSpan(NOW()-LOOKUP(2,1/(F222:ZZ222&lt;&gt;""),F222:ZZ222)),"")</f>
        <v>13天10小时50分14秒</v>
      </c>
      <c r="F222" s="20">
        <v>45904.773518518516</v>
      </c>
      <c r="G222" s="20">
        <v>45905.681296296294</v>
      </c>
      <c r="H222" s="20">
        <v>45908.464085648149</v>
      </c>
      <c r="I222" s="20">
        <v>45911.481319444443</v>
      </c>
    </row>
    <row r="223" spans="1:9" x14ac:dyDescent="0.2">
      <c r="B223" s="5" t="b">
        <v>0</v>
      </c>
      <c r="C223" s="16" t="s">
        <v>192</v>
      </c>
      <c r="E223" s="22" t="str">
        <f ca="1">IFERROR(FormatTimeSpan(NOW()-LOOKUP(2,1/(F223:ZZ223&lt;&gt;""),F223:ZZ223)),"")</f>
        <v>13天10小时43分45秒</v>
      </c>
      <c r="F223" s="20">
        <v>45904.773622685185</v>
      </c>
      <c r="G223" s="20">
        <v>45905.683159722219</v>
      </c>
      <c r="H223" s="20">
        <v>45908.467037037037</v>
      </c>
      <c r="I223" s="20">
        <v>45911.485821759263</v>
      </c>
    </row>
    <row r="224" spans="1:9" x14ac:dyDescent="0.2">
      <c r="A224" s="19" t="s">
        <v>219</v>
      </c>
      <c r="B224" s="5" t="b">
        <v>0</v>
      </c>
      <c r="C224" s="16" t="s">
        <v>221</v>
      </c>
      <c r="E224" s="22" t="str">
        <f ca="1">IFERROR(FormatTimeSpan(NOW()-LOOKUP(2,1/(F224:ZZ224&lt;&gt;""),F224:ZZ224)),"")</f>
        <v>11天7小时12分56秒</v>
      </c>
      <c r="F224" s="20">
        <v>45906.658321759256</v>
      </c>
      <c r="G224" s="20">
        <v>45908.467083333337</v>
      </c>
      <c r="H224" s="20">
        <v>45909.495300925926</v>
      </c>
      <c r="I224" s="20">
        <v>45913.632222222222</v>
      </c>
    </row>
    <row r="225" spans="2:9" x14ac:dyDescent="0.2">
      <c r="B225" s="5" t="b">
        <v>0</v>
      </c>
      <c r="C225" s="16" t="s">
        <v>220</v>
      </c>
      <c r="E225" s="22" t="str">
        <f ca="1">IFERROR(FormatTimeSpan(NOW()-LOOKUP(2,1/(F225:ZZ225&lt;&gt;""),F225:ZZ225)),"")</f>
        <v>11天7小时12分50秒</v>
      </c>
      <c r="F225" s="20">
        <v>45906.658356481479</v>
      </c>
      <c r="G225" s="20">
        <v>45908.467175925929</v>
      </c>
      <c r="H225" s="20">
        <v>45909.495324074072</v>
      </c>
      <c r="I225" s="20">
        <v>45913.632291666669</v>
      </c>
    </row>
    <row r="226" spans="2:9" x14ac:dyDescent="0.2">
      <c r="B226" s="5" t="b">
        <v>0</v>
      </c>
      <c r="C226" s="16" t="s">
        <v>364</v>
      </c>
      <c r="E226" s="22" t="str">
        <f ca="1">IFERROR(FormatTimeSpan(NOW()-LOOKUP(2,1/(F226:ZZ226&lt;&gt;""),F226:ZZ226)),"")</f>
        <v>11天7小时11分12秒</v>
      </c>
      <c r="F226" s="20">
        <v>45906.658530092594</v>
      </c>
      <c r="G226" s="20">
        <v>45908.467511574076</v>
      </c>
      <c r="H226" s="20">
        <v>45909.495462962965</v>
      </c>
      <c r="I226" s="20">
        <v>45913.633425925924</v>
      </c>
    </row>
    <row r="227" spans="2:9" x14ac:dyDescent="0.2">
      <c r="B227" s="5" t="b">
        <v>0</v>
      </c>
      <c r="C227" s="16" t="s">
        <v>222</v>
      </c>
      <c r="E227" s="22" t="str">
        <f ca="1">IFERROR(FormatTimeSpan(NOW()-LOOKUP(2,1/(F227:ZZ227&lt;&gt;""),F227:ZZ227)),"")</f>
        <v>11天7小时9分16秒</v>
      </c>
      <c r="F227" s="20">
        <v>45909.687997685185</v>
      </c>
      <c r="G227" s="20">
        <v>45911.48642361111</v>
      </c>
      <c r="H227" s="20">
        <v>45913.634768518517</v>
      </c>
    </row>
    <row r="228" spans="2:9" x14ac:dyDescent="0.2">
      <c r="B228" s="5" t="b">
        <v>0</v>
      </c>
      <c r="C228" s="16" t="s">
        <v>223</v>
      </c>
      <c r="E228" s="22" t="str">
        <f ca="1">IFERROR(FormatTimeSpan(NOW()-LOOKUP(2,1/(F228:ZZ228&lt;&gt;""),F228:ZZ228)),"")</f>
        <v>11天6小时59分33秒</v>
      </c>
      <c r="F228" s="20">
        <v>45909.692847222221</v>
      </c>
      <c r="G228" s="20">
        <v>45911.491006944445</v>
      </c>
      <c r="H228" s="20">
        <v>45913.641516203701</v>
      </c>
    </row>
    <row r="229" spans="2:9" x14ac:dyDescent="0.2">
      <c r="B229" s="5" t="b">
        <v>0</v>
      </c>
      <c r="C229" s="16" t="s">
        <v>224</v>
      </c>
      <c r="E229" s="22" t="str">
        <f ca="1">IFERROR(FormatTimeSpan(NOW()-LOOKUP(2,1/(F229:ZZ229&lt;&gt;""),F229:ZZ229)),"")</f>
        <v>11天6小时57分42秒</v>
      </c>
      <c r="F229" s="20">
        <v>45909.695601851854</v>
      </c>
      <c r="G229" s="20">
        <v>45911.492534722223</v>
      </c>
      <c r="H229" s="20">
        <v>45913.642800925925</v>
      </c>
    </row>
    <row r="230" spans="2:9" x14ac:dyDescent="0.2">
      <c r="B230" s="5" t="b">
        <v>0</v>
      </c>
      <c r="C230" s="16" t="s">
        <v>225</v>
      </c>
      <c r="E230" s="22" t="str">
        <f ca="1">IFERROR(FormatTimeSpan(NOW()-LOOKUP(2,1/(F230:ZZ230&lt;&gt;""),F230:ZZ230)),"")</f>
        <v>11天6小时53分11秒</v>
      </c>
      <c r="F230" s="20">
        <v>45909.697812500002</v>
      </c>
      <c r="G230" s="20">
        <v>45911.494571759256</v>
      </c>
      <c r="H230" s="20">
        <v>45913.645937499998</v>
      </c>
    </row>
    <row r="231" spans="2:9" x14ac:dyDescent="0.2">
      <c r="B231" s="5" t="b">
        <v>0</v>
      </c>
      <c r="C231" s="16" t="s">
        <v>226</v>
      </c>
      <c r="E231" s="22" t="str">
        <f ca="1">IFERROR(FormatTimeSpan(NOW()-LOOKUP(2,1/(F231:ZZ231&lt;&gt;""),F231:ZZ231)),"")</f>
        <v>11天6小时46分23秒</v>
      </c>
      <c r="F231" s="20">
        <v>45909.708912037036</v>
      </c>
      <c r="G231" s="20">
        <v>45911.6250462963</v>
      </c>
      <c r="H231" s="20">
        <v>45913.650659722225</v>
      </c>
    </row>
    <row r="232" spans="2:9" x14ac:dyDescent="0.2">
      <c r="B232" s="5" t="b">
        <v>0</v>
      </c>
      <c r="C232" s="16" t="s">
        <v>227</v>
      </c>
      <c r="E232" s="22" t="str">
        <f ca="1">IFERROR(FormatTimeSpan(NOW()-LOOKUP(2,1/(F232:ZZ232&lt;&gt;""),F232:ZZ232)),"")</f>
        <v>11天6小时44分60秒</v>
      </c>
      <c r="F232" s="20">
        <v>45909.717546296299</v>
      </c>
      <c r="G232" s="20">
        <v>45911.625972222224</v>
      </c>
      <c r="H232" s="20">
        <v>45913.651620370372</v>
      </c>
    </row>
    <row r="233" spans="2:9" x14ac:dyDescent="0.2">
      <c r="B233" s="5" t="b">
        <v>0</v>
      </c>
      <c r="C233" s="16" t="s">
        <v>234</v>
      </c>
      <c r="E233" s="22" t="str">
        <f ca="1">IFERROR(FormatTimeSpan(NOW()-LOOKUP(2,1/(F233:ZZ233&lt;&gt;""),F233:ZZ233)),"")</f>
        <v>11天6小时39分4秒</v>
      </c>
      <c r="F233" s="20">
        <v>45909.890439814815</v>
      </c>
      <c r="G233" s="20">
        <v>45911.62636574074</v>
      </c>
      <c r="H233" s="20">
        <v>45913.655740740738</v>
      </c>
    </row>
    <row r="234" spans="2:9" x14ac:dyDescent="0.2">
      <c r="B234" s="5" t="b">
        <v>0</v>
      </c>
      <c r="C234" s="16" t="s">
        <v>230</v>
      </c>
      <c r="E234" s="22" t="str">
        <f ca="1">IFERROR(FormatTimeSpan(NOW()-LOOKUP(2,1/(F234:ZZ234&lt;&gt;""),F234:ZZ234)),"")</f>
        <v>11天6小时37分14秒</v>
      </c>
      <c r="F234" s="20">
        <v>45909.89162037037</v>
      </c>
      <c r="G234" s="20">
        <v>45911.627349537041</v>
      </c>
      <c r="H234" s="20">
        <v>45913.657013888886</v>
      </c>
    </row>
    <row r="235" spans="2:9" x14ac:dyDescent="0.2">
      <c r="B235" s="5" t="b">
        <v>0</v>
      </c>
      <c r="C235" s="16" t="s">
        <v>231</v>
      </c>
      <c r="E235" s="22" t="str">
        <f ca="1">IFERROR(FormatTimeSpan(NOW()-LOOKUP(2,1/(F235:ZZ235&lt;&gt;""),F235:ZZ235)),"")</f>
        <v>11天6小时28分38秒</v>
      </c>
      <c r="F235" s="20">
        <v>45909.896296296298</v>
      </c>
      <c r="G235" s="20">
        <v>45911.638703703706</v>
      </c>
      <c r="H235" s="20">
        <v>45913.662986111114</v>
      </c>
    </row>
    <row r="236" spans="2:9" x14ac:dyDescent="0.2">
      <c r="B236" s="5" t="b">
        <v>0</v>
      </c>
      <c r="C236" s="16" t="s">
        <v>232</v>
      </c>
      <c r="E236" s="22" t="str">
        <f ca="1">IFERROR(FormatTimeSpan(NOW()-LOOKUP(2,1/(F236:ZZ236&lt;&gt;""),F236:ZZ236)),"")</f>
        <v>11天6小时27分36秒</v>
      </c>
      <c r="F236" s="20">
        <v>45909.896990740737</v>
      </c>
      <c r="G236" s="20">
        <v>45911.639907407407</v>
      </c>
      <c r="H236" s="20">
        <v>45913.663703703707</v>
      </c>
    </row>
    <row r="237" spans="2:9" x14ac:dyDescent="0.2">
      <c r="B237" s="5" t="b">
        <v>0</v>
      </c>
      <c r="C237" s="16" t="s">
        <v>233</v>
      </c>
      <c r="E237" s="22" t="str">
        <f ca="1">IFERROR(FormatTimeSpan(NOW()-LOOKUP(2,1/(F237:ZZ237&lt;&gt;""),F237:ZZ237)),"")</f>
        <v>11天6小时25分41秒</v>
      </c>
      <c r="F237" s="20">
        <v>45909.897557870368</v>
      </c>
      <c r="G237" s="20">
        <v>45911.640740740739</v>
      </c>
      <c r="H237" s="20">
        <v>45913.665034722224</v>
      </c>
    </row>
    <row r="238" spans="2:9" x14ac:dyDescent="0.2">
      <c r="B238" s="5" t="b">
        <v>0</v>
      </c>
      <c r="C238" s="16" t="s">
        <v>235</v>
      </c>
      <c r="E238" s="22" t="str">
        <f ca="1">IFERROR(FormatTimeSpan(NOW()-LOOKUP(2,1/(F238:ZZ238&lt;&gt;""),F238:ZZ238)),"")</f>
        <v>11天6小时25分35秒</v>
      </c>
      <c r="F238" s="20">
        <v>45910.695081018515</v>
      </c>
      <c r="G238" s="20">
        <v>45911.641377314816</v>
      </c>
      <c r="H238" s="20">
        <v>45913.66510416667</v>
      </c>
    </row>
    <row r="239" spans="2:9" x14ac:dyDescent="0.2">
      <c r="B239" s="5" t="b">
        <v>0</v>
      </c>
      <c r="C239" s="16" t="s">
        <v>236</v>
      </c>
      <c r="E239" s="22" t="str">
        <f ca="1">IFERROR(FormatTimeSpan(NOW()-LOOKUP(2,1/(F239:ZZ239&lt;&gt;""),F239:ZZ239)),"")</f>
        <v>11天6小时17分16秒</v>
      </c>
      <c r="F239" s="20">
        <v>45910.695983796293</v>
      </c>
      <c r="G239" s="20">
        <v>45911.642442129632</v>
      </c>
      <c r="H239" s="20">
        <v>45913.67087962963</v>
      </c>
    </row>
    <row r="240" spans="2:9" x14ac:dyDescent="0.2">
      <c r="B240" s="5" t="b">
        <v>0</v>
      </c>
      <c r="C240" s="16" t="s">
        <v>237</v>
      </c>
      <c r="E240" s="22" t="str">
        <f ca="1">IFERROR(FormatTimeSpan(NOW()-LOOKUP(2,1/(F240:ZZ240&lt;&gt;""),F240:ZZ240)),"")</f>
        <v>11天6小时15分5秒</v>
      </c>
      <c r="F240" s="20">
        <v>45910.696655092594</v>
      </c>
      <c r="G240" s="20">
        <v>45911.643738425926</v>
      </c>
      <c r="H240" s="20">
        <v>45913.672395833331</v>
      </c>
    </row>
    <row r="241" spans="2:8" x14ac:dyDescent="0.2">
      <c r="B241" s="5" t="b">
        <v>0</v>
      </c>
      <c r="C241" s="16" t="s">
        <v>238</v>
      </c>
      <c r="E241" s="22" t="str">
        <f ca="1">IFERROR(FormatTimeSpan(NOW()-LOOKUP(2,1/(F241:ZZ241&lt;&gt;""),F241:ZZ241)),"")</f>
        <v>11天6小时11分38秒</v>
      </c>
      <c r="F241" s="20">
        <v>45910.69740740741</v>
      </c>
      <c r="G241" s="20">
        <v>45911.649259259262</v>
      </c>
      <c r="H241" s="20">
        <v>45913.674791666665</v>
      </c>
    </row>
    <row r="242" spans="2:8" x14ac:dyDescent="0.2">
      <c r="B242" s="5" t="b">
        <v>0</v>
      </c>
      <c r="C242" s="16" t="s">
        <v>239</v>
      </c>
      <c r="E242" s="22" t="str">
        <f ca="1">IFERROR(FormatTimeSpan(NOW()-LOOKUP(2,1/(F242:ZZ242&lt;&gt;""),F242:ZZ242)),"")</f>
        <v>11天6小时11分8秒</v>
      </c>
      <c r="F242" s="20">
        <v>45910.697638888887</v>
      </c>
      <c r="G242" s="20">
        <v>45911.649699074071</v>
      </c>
      <c r="H242" s="20">
        <v>45913.675138888888</v>
      </c>
    </row>
    <row r="243" spans="2:8" x14ac:dyDescent="0.2">
      <c r="B243" s="5" t="b">
        <v>0</v>
      </c>
      <c r="C243" s="16" t="s">
        <v>240</v>
      </c>
      <c r="E243" s="22" t="str">
        <f ca="1">IFERROR(FormatTimeSpan(NOW()-LOOKUP(2,1/(F243:ZZ243&lt;&gt;""),F243:ZZ243)),"")</f>
        <v>11天6小时10分4秒</v>
      </c>
      <c r="F243" s="20">
        <v>45910.698472222219</v>
      </c>
      <c r="G243" s="20">
        <v>45911.651875000003</v>
      </c>
      <c r="H243" s="20">
        <v>45913.675879629627</v>
      </c>
    </row>
    <row r="244" spans="2:8" x14ac:dyDescent="0.2">
      <c r="B244" s="5" t="b">
        <v>0</v>
      </c>
      <c r="C244" s="16" t="s">
        <v>241</v>
      </c>
      <c r="E244" s="22" t="str">
        <f ca="1">IFERROR(FormatTimeSpan(NOW()-LOOKUP(2,1/(F244:ZZ244&lt;&gt;""),F244:ZZ244)),"")</f>
        <v>11天6小时9分38秒</v>
      </c>
      <c r="F244" s="20">
        <v>45910.698611111111</v>
      </c>
      <c r="G244" s="20">
        <v>45911.652071759258</v>
      </c>
      <c r="H244" s="20">
        <v>45913.676180555558</v>
      </c>
    </row>
    <row r="245" spans="2:8" x14ac:dyDescent="0.2">
      <c r="B245" s="5" t="b">
        <v>0</v>
      </c>
      <c r="C245" s="16" t="s">
        <v>242</v>
      </c>
      <c r="E245" s="22" t="str">
        <f ca="1">IFERROR(FormatTimeSpan(NOW()-LOOKUP(2,1/(F245:ZZ245&lt;&gt;""),F245:ZZ245)),"")</f>
        <v>11天6小时8分9秒</v>
      </c>
      <c r="F245" s="20">
        <v>45910.700532407405</v>
      </c>
      <c r="G245" s="20">
        <v>45911.653171296297</v>
      </c>
      <c r="H245" s="20">
        <v>45913.677210648151</v>
      </c>
    </row>
    <row r="246" spans="2:8" x14ac:dyDescent="0.2">
      <c r="B246" s="5" t="b">
        <v>0</v>
      </c>
      <c r="C246" s="16" t="s">
        <v>243</v>
      </c>
      <c r="E246" s="22" t="str">
        <f ca="1">IFERROR(FormatTimeSpan(NOW()-LOOKUP(2,1/(F246:ZZ246&lt;&gt;""),F246:ZZ246)),"")</f>
        <v>11天5小时59分51秒</v>
      </c>
      <c r="F246" s="20">
        <v>45910.702141203707</v>
      </c>
      <c r="G246" s="20">
        <v>45911.653854166667</v>
      </c>
      <c r="H246" s="20">
        <v>45913.682974537034</v>
      </c>
    </row>
    <row r="247" spans="2:8" x14ac:dyDescent="0.2">
      <c r="B247" s="5" t="b">
        <v>0</v>
      </c>
      <c r="C247" s="16" t="s">
        <v>244</v>
      </c>
      <c r="E247" s="22" t="str">
        <f ca="1">IFERROR(FormatTimeSpan(NOW()-LOOKUP(2,1/(F247:ZZ247&lt;&gt;""),F247:ZZ247)),"")</f>
        <v>11天5小时44分20秒</v>
      </c>
      <c r="F247" s="20">
        <v>45910.703194444446</v>
      </c>
      <c r="G247" s="20">
        <v>45911.654328703706</v>
      </c>
      <c r="H247" s="20">
        <v>45913.693749999999</v>
      </c>
    </row>
    <row r="248" spans="2:8" x14ac:dyDescent="0.2">
      <c r="B248" s="5" t="b">
        <v>0</v>
      </c>
      <c r="C248" s="16" t="s">
        <v>245</v>
      </c>
      <c r="E248" s="22" t="str">
        <f ca="1">IFERROR(FormatTimeSpan(NOW()-LOOKUP(2,1/(F248:ZZ248&lt;&gt;""),F248:ZZ248)),"")</f>
        <v>11天5小时44分7秒</v>
      </c>
      <c r="F248" s="20">
        <v>45910.705127314817</v>
      </c>
      <c r="G248" s="20">
        <v>45911.654537037037</v>
      </c>
      <c r="H248" s="20">
        <v>45913.69390046296</v>
      </c>
    </row>
    <row r="249" spans="2:8" x14ac:dyDescent="0.2">
      <c r="B249" s="5" t="b">
        <v>0</v>
      </c>
      <c r="C249" s="16" t="s">
        <v>246</v>
      </c>
      <c r="E249" s="22" t="str">
        <f ca="1">IFERROR(FormatTimeSpan(NOW()-LOOKUP(2,1/(F249:ZZ249&lt;&gt;""),F249:ZZ249)),"")</f>
        <v>11天5小时42分43秒</v>
      </c>
      <c r="F249" s="20">
        <v>45910.706736111111</v>
      </c>
      <c r="G249" s="20">
        <v>45911.654953703706</v>
      </c>
      <c r="H249" s="20">
        <v>45913.694872685184</v>
      </c>
    </row>
    <row r="250" spans="2:8" x14ac:dyDescent="0.2">
      <c r="B250" s="5" t="b">
        <v>0</v>
      </c>
      <c r="C250" s="16" t="s">
        <v>251</v>
      </c>
      <c r="E250" s="22" t="str">
        <f ca="1">IFERROR(FormatTimeSpan(NOW()-LOOKUP(2,1/(F250:ZZ250&lt;&gt;""),F250:ZZ250)),"")</f>
        <v>11天5小时34分59秒</v>
      </c>
      <c r="F250" s="20">
        <v>45910.707071759258</v>
      </c>
      <c r="G250" s="20">
        <v>45911.657604166663</v>
      </c>
      <c r="H250" s="20">
        <v>45913.700243055559</v>
      </c>
    </row>
    <row r="251" spans="2:8" x14ac:dyDescent="0.2">
      <c r="B251" s="5" t="b">
        <v>0</v>
      </c>
      <c r="C251" s="16" t="s">
        <v>247</v>
      </c>
      <c r="E251" s="22" t="str">
        <f ca="1">IFERROR(FormatTimeSpan(NOW()-LOOKUP(2,1/(F251:ZZ251&lt;&gt;""),F251:ZZ251)),"")</f>
        <v>11天5小时32分24秒</v>
      </c>
      <c r="F251" s="20">
        <v>45910.707303240742</v>
      </c>
      <c r="G251" s="20">
        <v>45911.657847222225</v>
      </c>
      <c r="H251" s="20">
        <v>45913.702037037037</v>
      </c>
    </row>
    <row r="252" spans="2:8" x14ac:dyDescent="0.2">
      <c r="B252" s="5" t="b">
        <v>0</v>
      </c>
      <c r="C252" s="16" t="s">
        <v>248</v>
      </c>
      <c r="E252" s="22" t="str">
        <f ca="1">IFERROR(FormatTimeSpan(NOW()-LOOKUP(2,1/(F252:ZZ252&lt;&gt;""),F252:ZZ252)),"")</f>
        <v>11天5小时28分31秒</v>
      </c>
      <c r="F252" s="20">
        <v>45910.709351851852</v>
      </c>
      <c r="G252" s="20">
        <v>45911.65996527778</v>
      </c>
      <c r="H252" s="20">
        <v>45913.704733796294</v>
      </c>
    </row>
    <row r="253" spans="2:8" x14ac:dyDescent="0.2">
      <c r="B253" s="5" t="b">
        <v>0</v>
      </c>
      <c r="C253" s="16" t="s">
        <v>249</v>
      </c>
      <c r="E253" s="22" t="str">
        <f ca="1">IFERROR(FormatTimeSpan(NOW()-LOOKUP(2,1/(F253:ZZ253&lt;&gt;""),F253:ZZ253)),"")</f>
        <v>11天5小时15分18秒</v>
      </c>
      <c r="F253" s="20">
        <v>45910.712847222225</v>
      </c>
      <c r="G253" s="20">
        <v>45911.663101851853</v>
      </c>
      <c r="H253" s="20">
        <v>45913.713912037034</v>
      </c>
    </row>
    <row r="254" spans="2:8" x14ac:dyDescent="0.2">
      <c r="B254" s="5" t="b">
        <v>0</v>
      </c>
      <c r="C254" s="16" t="s">
        <v>250</v>
      </c>
      <c r="E254" s="22" t="str">
        <f ca="1">IFERROR(FormatTimeSpan(NOW()-LOOKUP(2,1/(F254:ZZ254&lt;&gt;""),F254:ZZ254)),"")</f>
        <v>11天5小时8分22秒</v>
      </c>
      <c r="F254" s="20">
        <v>45910.713576388887</v>
      </c>
      <c r="G254" s="20">
        <v>45911.663576388892</v>
      </c>
      <c r="H254" s="20">
        <v>45913.718726851854</v>
      </c>
    </row>
    <row r="255" spans="2:8" x14ac:dyDescent="0.2">
      <c r="B255" s="5" t="b">
        <v>0</v>
      </c>
      <c r="C255" s="16" t="s">
        <v>259</v>
      </c>
      <c r="E255" s="22" t="str">
        <f ca="1">IFERROR(FormatTimeSpan(NOW()-LOOKUP(2,1/(F255:ZZ255&lt;&gt;""),F255:ZZ255)),"")</f>
        <v>11天4小时48分32秒</v>
      </c>
      <c r="F255" s="20">
        <v>45911.857581018521</v>
      </c>
      <c r="G255" s="20">
        <v>45913.732499999998</v>
      </c>
    </row>
    <row r="256" spans="2:8" x14ac:dyDescent="0.2">
      <c r="B256" s="5" t="b">
        <v>0</v>
      </c>
      <c r="C256" s="16" t="s">
        <v>252</v>
      </c>
      <c r="E256" s="22" t="str">
        <f ca="1">IFERROR(FormatTimeSpan(NOW()-LOOKUP(2,1/(F256:ZZ256&lt;&gt;""),F256:ZZ256)),"")</f>
        <v>11天4小时48分14秒</v>
      </c>
      <c r="F256" s="20">
        <v>45911.858449074076</v>
      </c>
      <c r="G256" s="20">
        <v>45913.732708333337</v>
      </c>
    </row>
    <row r="257" spans="2:7" x14ac:dyDescent="0.2">
      <c r="B257" s="5" t="b">
        <v>0</v>
      </c>
      <c r="C257" s="16" t="s">
        <v>253</v>
      </c>
      <c r="E257" s="22" t="str">
        <f ca="1">IFERROR(FormatTimeSpan(NOW()-LOOKUP(2,1/(F257:ZZ257&lt;&gt;""),F257:ZZ257)),"")</f>
        <v>11天4小时46分26秒</v>
      </c>
      <c r="F257" s="20">
        <v>45911.862025462964</v>
      </c>
      <c r="G257" s="20">
        <v>45913.733958333331</v>
      </c>
    </row>
    <row r="258" spans="2:7" x14ac:dyDescent="0.2">
      <c r="B258" s="5" t="b">
        <v>0</v>
      </c>
      <c r="C258" s="16" t="s">
        <v>254</v>
      </c>
      <c r="E258" s="22" t="str">
        <f ca="1">IFERROR(FormatTimeSpan(NOW()-LOOKUP(2,1/(F258:ZZ258&lt;&gt;""),F258:ZZ258)),"")</f>
        <v>11天4小时44分49秒</v>
      </c>
      <c r="F258" s="20">
        <v>45911.863483796296</v>
      </c>
      <c r="G258" s="20">
        <v>45913.735081018516</v>
      </c>
    </row>
    <row r="259" spans="2:7" x14ac:dyDescent="0.2">
      <c r="B259" s="5" t="b">
        <v>0</v>
      </c>
      <c r="C259" s="16" t="s">
        <v>255</v>
      </c>
      <c r="E259" s="22" t="str">
        <f ca="1">IFERROR(FormatTimeSpan(NOW()-LOOKUP(2,1/(F259:ZZ259&lt;&gt;""),F259:ZZ259)),"")</f>
        <v>11天4小时43分10秒</v>
      </c>
      <c r="F259" s="20">
        <v>45911.864884259259</v>
      </c>
      <c r="G259" s="20">
        <v>45913.736226851855</v>
      </c>
    </row>
    <row r="260" spans="2:7" x14ac:dyDescent="0.2">
      <c r="B260" s="5" t="b">
        <v>0</v>
      </c>
      <c r="C260" s="16" t="s">
        <v>256</v>
      </c>
      <c r="E260" s="22" t="str">
        <f ca="1">IFERROR(FormatTimeSpan(NOW()-LOOKUP(2,1/(F260:ZZ260&lt;&gt;""),F260:ZZ260)),"")</f>
        <v>11天4小时41分28秒</v>
      </c>
      <c r="F260" s="20">
        <v>45911.866296296299</v>
      </c>
      <c r="G260" s="20">
        <v>45913.737407407411</v>
      </c>
    </row>
    <row r="261" spans="2:7" x14ac:dyDescent="0.2">
      <c r="B261" s="5" t="b">
        <v>0</v>
      </c>
      <c r="C261" s="16" t="s">
        <v>257</v>
      </c>
      <c r="E261" s="22" t="str">
        <f ca="1">IFERROR(FormatTimeSpan(NOW()-LOOKUP(2,1/(F261:ZZ261&lt;&gt;""),F261:ZZ261)),"")</f>
        <v>11天4小时40分44秒</v>
      </c>
      <c r="F261" s="20">
        <v>45911.867997685185</v>
      </c>
      <c r="G261" s="20">
        <v>45913.737916666665</v>
      </c>
    </row>
    <row r="262" spans="2:7" x14ac:dyDescent="0.2">
      <c r="B262" s="5" t="b">
        <v>0</v>
      </c>
      <c r="C262" s="16" t="s">
        <v>258</v>
      </c>
      <c r="E262" s="22" t="str">
        <f ca="1">IFERROR(FormatTimeSpan(NOW()-LOOKUP(2,1/(F262:ZZ262&lt;&gt;""),F262:ZZ262)),"")</f>
        <v>11天4小时37分39秒</v>
      </c>
      <c r="F262" s="20">
        <v>45911.87054398148</v>
      </c>
      <c r="G262" s="20">
        <v>45913.740057870367</v>
      </c>
    </row>
    <row r="263" spans="2:7" x14ac:dyDescent="0.2">
      <c r="B263" s="5" t="b">
        <v>0</v>
      </c>
      <c r="C263" s="16" t="s">
        <v>261</v>
      </c>
      <c r="E263" s="22" t="str">
        <f ca="1">IFERROR(FormatTimeSpan(NOW()-LOOKUP(2,1/(F263:ZZ263&lt;&gt;""),F263:ZZ263)),"")</f>
        <v>10天12小时27分20秒</v>
      </c>
      <c r="F263" s="20">
        <v>45914.413888888892</v>
      </c>
    </row>
    <row r="264" spans="2:7" x14ac:dyDescent="0.2">
      <c r="B264" s="5" t="b">
        <v>0</v>
      </c>
      <c r="C264" s="16" t="s">
        <v>262</v>
      </c>
      <c r="E264" s="22" t="str">
        <f ca="1">IFERROR(FormatTimeSpan(NOW()-LOOKUP(2,1/(F264:ZZ264&lt;&gt;""),F264:ZZ264)),"")</f>
        <v>10天12小时20分14秒</v>
      </c>
      <c r="F264" s="20">
        <v>45914.418819444443</v>
      </c>
    </row>
    <row r="265" spans="2:7" x14ac:dyDescent="0.2">
      <c r="B265" s="5" t="b">
        <v>0</v>
      </c>
      <c r="C265" s="16" t="s">
        <v>263</v>
      </c>
      <c r="E265" s="22" t="str">
        <f ca="1">IFERROR(FormatTimeSpan(NOW()-LOOKUP(2,1/(F265:ZZ265&lt;&gt;""),F265:ZZ265)),"")</f>
        <v>10天12小时18分24秒</v>
      </c>
      <c r="F265" s="20">
        <v>45914.420092592591</v>
      </c>
    </row>
    <row r="266" spans="2:7" x14ac:dyDescent="0.2">
      <c r="B266" s="5" t="b">
        <v>0</v>
      </c>
      <c r="C266" s="16" t="s">
        <v>264</v>
      </c>
      <c r="E266" s="22" t="str">
        <f ca="1">IFERROR(FormatTimeSpan(NOW()-LOOKUP(2,1/(F266:ZZ266&lt;&gt;""),F266:ZZ266)),"")</f>
        <v>10天12小时14分21秒</v>
      </c>
      <c r="F266" s="20">
        <v>45914.422905092593</v>
      </c>
    </row>
    <row r="267" spans="2:7" x14ac:dyDescent="0.2">
      <c r="B267" s="5" t="b">
        <v>0</v>
      </c>
      <c r="C267" s="16" t="s">
        <v>265</v>
      </c>
      <c r="E267" s="22" t="str">
        <f ca="1">IFERROR(FormatTimeSpan(NOW()-LOOKUP(2,1/(F267:ZZ267&lt;&gt;""),F267:ZZ267)),"")</f>
        <v>10天12小时9分38秒</v>
      </c>
      <c r="F267" s="20">
        <v>45914.426180555558</v>
      </c>
    </row>
    <row r="268" spans="2:7" x14ac:dyDescent="0.2">
      <c r="B268" s="5" t="b">
        <v>0</v>
      </c>
      <c r="C268" s="16" t="s">
        <v>266</v>
      </c>
      <c r="E268" s="22" t="str">
        <f ca="1">IFERROR(FormatTimeSpan(NOW()-LOOKUP(2,1/(F268:ZZ268&lt;&gt;""),F268:ZZ268)),"")</f>
        <v>10天12小时7分30秒</v>
      </c>
      <c r="F268" s="20">
        <v>45914.427662037036</v>
      </c>
    </row>
    <row r="269" spans="2:7" x14ac:dyDescent="0.2">
      <c r="B269" s="5" t="b">
        <v>0</v>
      </c>
      <c r="C269" s="16" t="s">
        <v>267</v>
      </c>
      <c r="E269" s="22" t="str">
        <f ca="1">IFERROR(FormatTimeSpan(NOW()-LOOKUP(2,1/(F269:ZZ269&lt;&gt;""),F269:ZZ269)),"")</f>
        <v>10天12小时7分6秒</v>
      </c>
      <c r="F269" s="20">
        <v>45914.427939814814</v>
      </c>
    </row>
    <row r="270" spans="2:7" x14ac:dyDescent="0.2">
      <c r="B270" s="5" t="b">
        <v>0</v>
      </c>
      <c r="C270" s="16" t="s">
        <v>268</v>
      </c>
      <c r="E270" s="22" t="str">
        <f ca="1">IFERROR(FormatTimeSpan(NOW()-LOOKUP(2,1/(F270:ZZ270&lt;&gt;""),F270:ZZ270)),"")</f>
        <v>10天12小时6分54秒</v>
      </c>
      <c r="F270" s="20">
        <v>45914.428078703706</v>
      </c>
    </row>
    <row r="271" spans="2:7" x14ac:dyDescent="0.2">
      <c r="B271" s="5" t="b">
        <v>0</v>
      </c>
      <c r="C271" s="16" t="s">
        <v>269</v>
      </c>
      <c r="E271" s="22" t="str">
        <f ca="1">IFERROR(FormatTimeSpan(NOW()-LOOKUP(2,1/(F271:ZZ271&lt;&gt;""),F271:ZZ271)),"")</f>
        <v>10天6小时50分14秒</v>
      </c>
      <c r="F271" s="20">
        <v>45914.647986111115</v>
      </c>
    </row>
    <row r="272" spans="2:7" x14ac:dyDescent="0.2">
      <c r="B272" s="5" t="b">
        <v>0</v>
      </c>
      <c r="C272" s="16" t="s">
        <v>270</v>
      </c>
      <c r="E272" s="22" t="str">
        <f ca="1">IFERROR(FormatTimeSpan(NOW()-LOOKUP(2,1/(F272:ZZ272&lt;&gt;""),F272:ZZ272)),"")</f>
        <v>10天6小时41分36秒</v>
      </c>
      <c r="F272" s="20">
        <v>45914.653981481482</v>
      </c>
    </row>
    <row r="273" spans="2:6" x14ac:dyDescent="0.2">
      <c r="B273" s="5" t="b">
        <v>0</v>
      </c>
      <c r="C273" s="16" t="s">
        <v>271</v>
      </c>
      <c r="E273" s="22" t="str">
        <f ca="1">IFERROR(FormatTimeSpan(NOW()-LOOKUP(2,1/(F273:ZZ273&lt;&gt;""),F273:ZZ273)),"")</f>
        <v>9天12小时6分45秒</v>
      </c>
      <c r="F273" s="20">
        <v>45915.428182870368</v>
      </c>
    </row>
    <row r="274" spans="2:6" x14ac:dyDescent="0.2">
      <c r="B274" s="5" t="b">
        <v>0</v>
      </c>
      <c r="C274" s="21" t="s">
        <v>272</v>
      </c>
      <c r="E274" s="22" t="str">
        <f ca="1">IFERROR(FormatTimeSpan(NOW()-LOOKUP(2,1/(F274:ZZ274&lt;&gt;""),F274:ZZ274)),"")</f>
        <v>9天12小时6分21秒</v>
      </c>
      <c r="F274" s="20">
        <v>45915.428460648145</v>
      </c>
    </row>
    <row r="275" spans="2:6" x14ac:dyDescent="0.2">
      <c r="B275" s="5" t="b">
        <v>0</v>
      </c>
      <c r="C275" s="21" t="s">
        <v>273</v>
      </c>
      <c r="E275" s="22" t="str">
        <f ca="1">IFERROR(FormatTimeSpan(NOW()-LOOKUP(2,1/(F275:ZZ275&lt;&gt;""),F275:ZZ275)),"")</f>
        <v>9天12小时5分44秒</v>
      </c>
      <c r="F275" s="20">
        <v>45915.428888888891</v>
      </c>
    </row>
    <row r="276" spans="2:6" x14ac:dyDescent="0.2">
      <c r="B276" s="5" t="b">
        <v>0</v>
      </c>
      <c r="C276" s="16" t="s">
        <v>274</v>
      </c>
      <c r="E276" s="22" t="str">
        <f ca="1">IFERROR(FormatTimeSpan(NOW()-LOOKUP(2,1/(F276:ZZ276&lt;&gt;""),F276:ZZ276)),"")</f>
        <v>9天12小时2分59秒</v>
      </c>
      <c r="F276" s="20">
        <v>45915.430798611109</v>
      </c>
    </row>
    <row r="277" spans="2:6" x14ac:dyDescent="0.2">
      <c r="B277" s="5" t="b">
        <v>0</v>
      </c>
      <c r="C277" s="16" t="s">
        <v>275</v>
      </c>
      <c r="E277" s="22" t="str">
        <f ca="1">IFERROR(FormatTimeSpan(NOW()-LOOKUP(2,1/(F277:ZZ277&lt;&gt;""),F277:ZZ277)),"")</f>
        <v>9天11小时56分47秒</v>
      </c>
      <c r="F277" s="20">
        <v>45915.435104166667</v>
      </c>
    </row>
    <row r="278" spans="2:6" x14ac:dyDescent="0.2">
      <c r="B278" s="5" t="b">
        <v>0</v>
      </c>
      <c r="C278" s="16" t="s">
        <v>276</v>
      </c>
      <c r="E278" s="22" t="str">
        <f ca="1">IFERROR(FormatTimeSpan(NOW()-LOOKUP(2,1/(F278:ZZ278&lt;&gt;""),F278:ZZ278)),"")</f>
        <v>9天11小时55分57秒</v>
      </c>
      <c r="F278" s="20">
        <v>45915.435682870368</v>
      </c>
    </row>
    <row r="279" spans="2:6" x14ac:dyDescent="0.2">
      <c r="B279" s="5" t="b">
        <v>0</v>
      </c>
      <c r="C279" s="16" t="s">
        <v>277</v>
      </c>
      <c r="E279" s="22" t="str">
        <f ca="1">IFERROR(FormatTimeSpan(NOW()-LOOKUP(2,1/(F279:ZZ279&lt;&gt;""),F279:ZZ279)),"")</f>
        <v>9天11小时49分46秒</v>
      </c>
      <c r="F279" s="20">
        <v>45915.439976851849</v>
      </c>
    </row>
    <row r="280" spans="2:6" x14ac:dyDescent="0.2">
      <c r="B280" s="5" t="b">
        <v>0</v>
      </c>
      <c r="C280" s="16" t="s">
        <v>278</v>
      </c>
      <c r="E280" s="22" t="str">
        <f ca="1">IFERROR(FormatTimeSpan(NOW()-LOOKUP(2,1/(F280:ZZ280&lt;&gt;""),F280:ZZ280)),"")</f>
        <v>9天11小时48分58秒</v>
      </c>
      <c r="F280" s="20">
        <v>45915.440532407411</v>
      </c>
    </row>
    <row r="281" spans="2:6" x14ac:dyDescent="0.2">
      <c r="B281" s="5" t="b">
        <v>0</v>
      </c>
      <c r="C281" s="16" t="s">
        <v>279</v>
      </c>
      <c r="E281" s="22" t="str">
        <f ca="1">IFERROR(FormatTimeSpan(NOW()-LOOKUP(2,1/(F281:ZZ281&lt;&gt;""),F281:ZZ281)),"")</f>
        <v>9天11小时47分30秒</v>
      </c>
      <c r="F281" s="20">
        <v>45915.441550925927</v>
      </c>
    </row>
    <row r="282" spans="2:6" x14ac:dyDescent="0.2">
      <c r="B282" s="5" t="b">
        <v>0</v>
      </c>
      <c r="C282" s="16" t="s">
        <v>280</v>
      </c>
      <c r="E282" s="22" t="str">
        <f ca="1">IFERROR(FormatTimeSpan(NOW()-LOOKUP(2,1/(F282:ZZ282&lt;&gt;""),F282:ZZ282)),"")</f>
        <v>9天11小时45分11秒</v>
      </c>
      <c r="F282" s="20">
        <v>45915.443159722221</v>
      </c>
    </row>
    <row r="283" spans="2:6" x14ac:dyDescent="0.2">
      <c r="B283" s="5" t="b">
        <v>0</v>
      </c>
      <c r="C283" s="16" t="s">
        <v>281</v>
      </c>
      <c r="E283" s="22" t="str">
        <f ca="1">IFERROR(FormatTimeSpan(NOW()-LOOKUP(2,1/(F283:ZZ283&lt;&gt;""),F283:ZZ283)),"")</f>
        <v>9天11小时43分34秒</v>
      </c>
      <c r="F283" s="20">
        <v>45915.444282407407</v>
      </c>
    </row>
    <row r="284" spans="2:6" x14ac:dyDescent="0.2">
      <c r="B284" s="5" t="b">
        <v>0</v>
      </c>
      <c r="C284" s="16" t="s">
        <v>282</v>
      </c>
      <c r="E284" s="22" t="str">
        <f ca="1">IFERROR(FormatTimeSpan(NOW()-LOOKUP(2,1/(F284:ZZ284&lt;&gt;""),F284:ZZ284)),"")</f>
        <v>9天5小时50分20秒</v>
      </c>
      <c r="F284" s="20">
        <v>45915.689583333333</v>
      </c>
    </row>
    <row r="285" spans="2:6" x14ac:dyDescent="0.2">
      <c r="B285" s="5" t="b">
        <v>0</v>
      </c>
      <c r="C285" s="16" t="s">
        <v>283</v>
      </c>
      <c r="E285" s="22" t="str">
        <f ca="1">IFERROR(FormatTimeSpan(NOW()-LOOKUP(2,1/(F285:ZZ285&lt;&gt;""),F285:ZZ285)),"")</f>
        <v>9天5小时49分51秒</v>
      </c>
      <c r="F285" s="20">
        <v>45915.689918981479</v>
      </c>
    </row>
    <row r="286" spans="2:6" x14ac:dyDescent="0.2">
      <c r="B286" s="5" t="b">
        <v>0</v>
      </c>
      <c r="C286" s="16" t="s">
        <v>284</v>
      </c>
      <c r="E286" s="22" t="str">
        <f ca="1">IFERROR(FormatTimeSpan(NOW()-LOOKUP(2,1/(F286:ZZ286&lt;&gt;""),F286:ZZ286)),"")</f>
        <v>9天5小时42分45秒</v>
      </c>
      <c r="F286" s="20">
        <v>45915.694849537038</v>
      </c>
    </row>
    <row r="287" spans="2:6" x14ac:dyDescent="0.2">
      <c r="B287" s="5" t="b">
        <v>0</v>
      </c>
      <c r="C287" s="16" t="s">
        <v>285</v>
      </c>
      <c r="E287" s="22" t="str">
        <f ca="1">IFERROR(FormatTimeSpan(NOW()-LOOKUP(2,1/(F287:ZZ287&lt;&gt;""),F287:ZZ287)),"")</f>
        <v>9天5小时36分50秒</v>
      </c>
      <c r="F287" s="20">
        <v>45915.698958333334</v>
      </c>
    </row>
    <row r="288" spans="2:6" x14ac:dyDescent="0.2">
      <c r="B288" s="5" t="b">
        <v>0</v>
      </c>
      <c r="C288" s="16" t="s">
        <v>366</v>
      </c>
      <c r="E288" s="22" t="str">
        <f ca="1">IFERROR(FormatTimeSpan(NOW()-LOOKUP(2,1/(F288:ZZ288&lt;&gt;""),F288:ZZ288)),"")</f>
        <v>9天5小时28分34秒</v>
      </c>
      <c r="F288" s="20">
        <v>45915.704699074071</v>
      </c>
    </row>
    <row r="289" spans="2:6" x14ac:dyDescent="0.2">
      <c r="B289" s="5" t="b">
        <v>0</v>
      </c>
      <c r="C289" s="16" t="s">
        <v>286</v>
      </c>
      <c r="E289" s="22" t="str">
        <f ca="1">IFERROR(FormatTimeSpan(NOW()-LOOKUP(2,1/(F289:ZZ289&lt;&gt;""),F289:ZZ289)),"")</f>
        <v>9天5小时28分34秒</v>
      </c>
      <c r="F289" s="20">
        <v>45915.704699074071</v>
      </c>
    </row>
    <row r="290" spans="2:6" x14ac:dyDescent="0.2">
      <c r="B290" s="5" t="b">
        <v>0</v>
      </c>
      <c r="C290" s="16" t="s">
        <v>287</v>
      </c>
      <c r="E290" s="22" t="str">
        <f ca="1">IFERROR(FormatTimeSpan(NOW()-LOOKUP(2,1/(F290:ZZ290&lt;&gt;""),F290:ZZ290)),"")</f>
        <v>9天5小时25分41秒</v>
      </c>
      <c r="F290" s="20">
        <v>45915.706701388888</v>
      </c>
    </row>
    <row r="291" spans="2:6" x14ac:dyDescent="0.2">
      <c r="B291" s="5" t="b">
        <v>0</v>
      </c>
      <c r="C291" s="16" t="s">
        <v>367</v>
      </c>
      <c r="E291" s="22" t="str">
        <f ca="1">IFERROR(FormatTimeSpan(NOW()-LOOKUP(2,1/(F291:ZZ291&lt;&gt;""),F291:ZZ291)),"")</f>
        <v>9天5小时25分41秒</v>
      </c>
      <c r="F291" s="20">
        <v>45915.706701388888</v>
      </c>
    </row>
    <row r="292" spans="2:6" x14ac:dyDescent="0.2">
      <c r="B292" s="5" t="b">
        <v>0</v>
      </c>
      <c r="C292" s="16" t="s">
        <v>288</v>
      </c>
      <c r="E292" s="22" t="str">
        <f ca="1">IFERROR(FormatTimeSpan(NOW()-LOOKUP(2,1/(F292:ZZ292&lt;&gt;""),F292:ZZ292)),"")</f>
        <v>9天5小时22分28秒</v>
      </c>
      <c r="F292" s="20">
        <v>45915.708935185183</v>
      </c>
    </row>
    <row r="293" spans="2:6" x14ac:dyDescent="0.2">
      <c r="B293" s="5" t="b">
        <v>0</v>
      </c>
      <c r="C293" s="16" t="s">
        <v>289</v>
      </c>
      <c r="E293" s="22" t="str">
        <f ca="1">IFERROR(FormatTimeSpan(NOW()-LOOKUP(2,1/(F293:ZZ293&lt;&gt;""),F293:ZZ293)),"")</f>
        <v>9天4小时22分30秒</v>
      </c>
      <c r="F293" s="20">
        <v>45915.750578703701</v>
      </c>
    </row>
    <row r="294" spans="2:6" x14ac:dyDescent="0.2">
      <c r="B294" s="5" t="b">
        <v>0</v>
      </c>
      <c r="C294" s="16" t="s">
        <v>290</v>
      </c>
      <c r="E294" s="22" t="str">
        <f ca="1">IFERROR(FormatTimeSpan(NOW()-LOOKUP(2,1/(F294:ZZ294&lt;&gt;""),F294:ZZ294)),"")</f>
        <v>9天4小时20分7秒</v>
      </c>
      <c r="F294" s="20">
        <v>45915.752233796295</v>
      </c>
    </row>
    <row r="295" spans="2:6" x14ac:dyDescent="0.2">
      <c r="B295" s="5" t="b">
        <v>0</v>
      </c>
      <c r="C295" s="16" t="s">
        <v>291</v>
      </c>
      <c r="E295" s="22" t="str">
        <f ca="1">IFERROR(FormatTimeSpan(NOW()-LOOKUP(2,1/(F295:ZZ295&lt;&gt;""),F295:ZZ295)),"")</f>
        <v>9天35分52秒</v>
      </c>
      <c r="F295" s="20">
        <v>45915.907962962963</v>
      </c>
    </row>
    <row r="296" spans="2:6" x14ac:dyDescent="0.2">
      <c r="B296" s="5" t="b">
        <v>0</v>
      </c>
      <c r="C296" s="16" t="s">
        <v>292</v>
      </c>
      <c r="E296" s="22" t="str">
        <f ca="1">IFERROR(FormatTimeSpan(NOW()-LOOKUP(2,1/(F296:ZZ296&lt;&gt;""),F296:ZZ296)),"")</f>
        <v>9天34分22秒</v>
      </c>
      <c r="F296" s="20">
        <v>45915.909004629626</v>
      </c>
    </row>
    <row r="297" spans="2:6" x14ac:dyDescent="0.2">
      <c r="B297" s="5" t="b">
        <v>0</v>
      </c>
      <c r="C297" s="16" t="s">
        <v>293</v>
      </c>
      <c r="E297" s="22" t="str">
        <f ca="1">IFERROR(FormatTimeSpan(NOW()-LOOKUP(2,1/(F297:ZZ297&lt;&gt;""),F297:ZZ297)),"")</f>
        <v>9天32分23秒</v>
      </c>
      <c r="F297" s="20">
        <v>45915.910381944443</v>
      </c>
    </row>
    <row r="298" spans="2:6" x14ac:dyDescent="0.2">
      <c r="B298" s="5" t="b">
        <v>0</v>
      </c>
      <c r="C298" s="16" t="s">
        <v>294</v>
      </c>
      <c r="E298" s="22" t="str">
        <f ca="1">IFERROR(FormatTimeSpan(NOW()-LOOKUP(2,1/(F298:ZZ298&lt;&gt;""),F298:ZZ298)),"")</f>
        <v>9天28分31秒</v>
      </c>
      <c r="F298" s="20">
        <v>45915.91306712963</v>
      </c>
    </row>
    <row r="299" spans="2:6" x14ac:dyDescent="0.2">
      <c r="B299" s="5" t="b">
        <v>0</v>
      </c>
      <c r="C299" s="16" t="s">
        <v>296</v>
      </c>
      <c r="E299" s="22" t="str">
        <f ca="1">IFERROR(FormatTimeSpan(NOW()-LOOKUP(2,1/(F299:ZZ299&lt;&gt;""),F299:ZZ299)),"")</f>
        <v>9天27分40秒</v>
      </c>
      <c r="F299" s="20">
        <v>45915.913657407407</v>
      </c>
    </row>
    <row r="300" spans="2:6" x14ac:dyDescent="0.2">
      <c r="B300" s="5" t="b">
        <v>0</v>
      </c>
      <c r="C300" s="16" t="s">
        <v>295</v>
      </c>
      <c r="E300" s="22" t="str">
        <f ca="1">IFERROR(FormatTimeSpan(NOW()-LOOKUP(2,1/(F300:ZZ300&lt;&gt;""),F300:ZZ300)),"")</f>
        <v>9天20分6秒</v>
      </c>
      <c r="F300" s="20">
        <v>45915.918912037036</v>
      </c>
    </row>
    <row r="301" spans="2:6" x14ac:dyDescent="0.2">
      <c r="B301" s="5" t="b">
        <v>0</v>
      </c>
      <c r="C301" s="16" t="s">
        <v>297</v>
      </c>
      <c r="E301" s="22" t="str">
        <f ca="1">IFERROR(FormatTimeSpan(NOW()-LOOKUP(2,1/(F301:ZZ301&lt;&gt;""),F301:ZZ301)),"")</f>
        <v>7天12小时32分35秒</v>
      </c>
      <c r="F301" s="20">
        <v>45917.410243055558</v>
      </c>
    </row>
    <row r="302" spans="2:6" x14ac:dyDescent="0.2">
      <c r="B302" s="5" t="b">
        <v>0</v>
      </c>
      <c r="C302" s="16" t="s">
        <v>303</v>
      </c>
      <c r="E302" s="22" t="str">
        <f ca="1">IFERROR(FormatTimeSpan(NOW()-LOOKUP(2,1/(F302:ZZ302&lt;&gt;""),F302:ZZ302)),"")</f>
        <v>7天12小时32分21秒</v>
      </c>
      <c r="F302" s="20">
        <v>45917.410405092596</v>
      </c>
    </row>
    <row r="303" spans="2:6" x14ac:dyDescent="0.2">
      <c r="B303" s="5" t="b">
        <v>0</v>
      </c>
      <c r="C303" s="16" t="s">
        <v>370</v>
      </c>
      <c r="E303" s="22" t="str">
        <f ca="1">IFERROR(FormatTimeSpan(NOW()-LOOKUP(2,1/(F303:ZZ303&lt;&gt;""),F303:ZZ303)),"")</f>
        <v>7天12小时31分45秒</v>
      </c>
      <c r="F303" s="20">
        <v>45917.410821759258</v>
      </c>
    </row>
    <row r="304" spans="2:6" x14ac:dyDescent="0.2">
      <c r="B304" s="5" t="b">
        <v>0</v>
      </c>
      <c r="C304" s="16" t="s">
        <v>371</v>
      </c>
      <c r="E304" s="22" t="str">
        <f ca="1">IFERROR(FormatTimeSpan(NOW()-LOOKUP(2,1/(F304:ZZ304&lt;&gt;""),F304:ZZ304)),"")</f>
        <v>7天12小时30分20秒</v>
      </c>
      <c r="F304" s="20">
        <v>45917.411805555559</v>
      </c>
    </row>
    <row r="305" spans="1:6" x14ac:dyDescent="0.2">
      <c r="B305" s="5" t="b">
        <v>0</v>
      </c>
      <c r="C305" s="16" t="s">
        <v>372</v>
      </c>
      <c r="E305" s="22" t="str">
        <f ca="1">IFERROR(FormatTimeSpan(NOW()-LOOKUP(2,1/(F305:ZZ305&lt;&gt;""),F305:ZZ305)),"")</f>
        <v>7天12小时27分50秒</v>
      </c>
      <c r="F305" s="20">
        <v>45917.413541666669</v>
      </c>
    </row>
    <row r="306" spans="1:6" x14ac:dyDescent="0.2">
      <c r="B306" s="5" t="b">
        <v>0</v>
      </c>
      <c r="C306" s="16" t="s">
        <v>373</v>
      </c>
      <c r="E306" s="22" t="str">
        <f ca="1">IFERROR(FormatTimeSpan(NOW()-LOOKUP(2,1/(F306:ZZ306&lt;&gt;""),F306:ZZ306)),"")</f>
        <v>7天12小时25分22秒</v>
      </c>
      <c r="F306" s="20">
        <v>45917.415254629632</v>
      </c>
    </row>
    <row r="307" spans="1:6" x14ac:dyDescent="0.2">
      <c r="B307" s="5" t="b">
        <v>0</v>
      </c>
      <c r="C307" s="16" t="s">
        <v>374</v>
      </c>
      <c r="E307" s="22" t="str">
        <f ca="1">IFERROR(FormatTimeSpan(NOW()-LOOKUP(2,1/(F307:ZZ307&lt;&gt;""),F307:ZZ307)),"")</f>
        <v>7天12小时16分31秒</v>
      </c>
      <c r="F307" s="20">
        <v>45917.421400462961</v>
      </c>
    </row>
    <row r="308" spans="1:6" x14ac:dyDescent="0.2">
      <c r="B308" s="5" t="b">
        <v>0</v>
      </c>
      <c r="C308" s="16" t="s">
        <v>298</v>
      </c>
      <c r="E308" s="22" t="str">
        <f ca="1">IFERROR(FormatTimeSpan(NOW()-LOOKUP(2,1/(F308:ZZ308&lt;&gt;""),F308:ZZ308)),"")</f>
        <v>7天12小时16分4秒</v>
      </c>
      <c r="F308" s="20">
        <v>45917.421712962961</v>
      </c>
    </row>
    <row r="309" spans="1:6" x14ac:dyDescent="0.2">
      <c r="B309" s="5" t="b">
        <v>0</v>
      </c>
      <c r="C309" s="16" t="s">
        <v>299</v>
      </c>
      <c r="E309" s="22" t="str">
        <f ca="1">IFERROR(FormatTimeSpan(NOW()-LOOKUP(2,1/(F309:ZZ309&lt;&gt;""),F309:ZZ309)),"")</f>
        <v>7天12小时11分9秒</v>
      </c>
      <c r="F309" s="20">
        <v>45917.425127314818</v>
      </c>
    </row>
    <row r="310" spans="1:6" x14ac:dyDescent="0.2">
      <c r="B310" s="5" t="b">
        <v>0</v>
      </c>
      <c r="C310" s="16" t="s">
        <v>300</v>
      </c>
      <c r="E310" s="22" t="str">
        <f ca="1">IFERROR(FormatTimeSpan(NOW()-LOOKUP(2,1/(F310:ZZ310&lt;&gt;""),F310:ZZ310)),"")</f>
        <v>7天12小时8分38秒</v>
      </c>
      <c r="F310" s="20">
        <v>45917.426874999997</v>
      </c>
    </row>
    <row r="311" spans="1:6" x14ac:dyDescent="0.2">
      <c r="B311" s="5" t="b">
        <v>0</v>
      </c>
      <c r="C311" s="16" t="s">
        <v>301</v>
      </c>
      <c r="E311" s="22" t="str">
        <f ca="1">IFERROR(FormatTimeSpan(NOW()-LOOKUP(2,1/(F311:ZZ311&lt;&gt;""),F311:ZZ311)),"")</f>
        <v>7天12小时6分3秒</v>
      </c>
      <c r="F311" s="20">
        <v>45917.428668981483</v>
      </c>
    </row>
    <row r="312" spans="1:6" x14ac:dyDescent="0.2">
      <c r="A312" s="19" t="s">
        <v>302</v>
      </c>
      <c r="B312" s="5" t="b">
        <v>0</v>
      </c>
      <c r="C312" s="16" t="s">
        <v>365</v>
      </c>
      <c r="E312" s="23" t="str">
        <f>IFERROR(FormatTimeSpan(Z$1-LOOKUP(2,1/(F312:ZZ312&lt;&gt;""),F312:ZZ312)),"")</f>
        <v>3个月13天9小时6分49秒</v>
      </c>
      <c r="F312" s="20">
        <v>45917.620266203703</v>
      </c>
    </row>
    <row r="313" spans="1:6" x14ac:dyDescent="0.2">
      <c r="B313" s="5" t="b">
        <v>0</v>
      </c>
      <c r="C313" s="16" t="s">
        <v>376</v>
      </c>
      <c r="E313" s="22" t="str">
        <f ca="1">IFERROR(FormatTimeSpan(NOW()-LOOKUP(2,1/(F313:ZZ313&lt;&gt;""),F313:ZZ313)),"")</f>
        <v>7天7小时29分32秒</v>
      </c>
      <c r="F313" s="20">
        <v>45917.620694444442</v>
      </c>
    </row>
    <row r="314" spans="1:6" x14ac:dyDescent="0.2">
      <c r="B314" s="5" t="b">
        <v>0</v>
      </c>
      <c r="C314" s="16" t="s">
        <v>377</v>
      </c>
      <c r="E314" s="22" t="str">
        <f ca="1">IFERROR(FormatTimeSpan(NOW()-LOOKUP(2,1/(F314:ZZ314&lt;&gt;""),F314:ZZ314)),"")</f>
        <v>7天7小时22分44秒</v>
      </c>
      <c r="F314" s="20">
        <v>45917.625416666669</v>
      </c>
    </row>
    <row r="315" spans="1:6" x14ac:dyDescent="0.2">
      <c r="B315" s="5" t="b">
        <v>0</v>
      </c>
      <c r="C315" s="16" t="s">
        <v>378</v>
      </c>
      <c r="E315" s="22" t="str">
        <f ca="1">IFERROR(FormatTimeSpan(NOW()-LOOKUP(2,1/(F315:ZZ315&lt;&gt;""),F315:ZZ315)),"")</f>
        <v>7天7小时13分35秒</v>
      </c>
      <c r="F315" s="20">
        <v>45917.63177083333</v>
      </c>
    </row>
    <row r="316" spans="1:6" x14ac:dyDescent="0.2">
      <c r="B316" s="5" t="b">
        <v>0</v>
      </c>
      <c r="C316" s="16" t="s">
        <v>304</v>
      </c>
      <c r="E316" s="22" t="str">
        <f ca="1">IFERROR(FormatTimeSpan(NOW()-LOOKUP(2,1/(F316:ZZ316&lt;&gt;""),F316:ZZ316)),"")</f>
        <v>6天13小时45分36秒</v>
      </c>
      <c r="F316" s="20">
        <v>45918.359537037039</v>
      </c>
    </row>
    <row r="317" spans="1:6" x14ac:dyDescent="0.2">
      <c r="B317" s="5" t="b">
        <v>0</v>
      </c>
      <c r="C317" s="16" t="s">
        <v>305</v>
      </c>
      <c r="E317" s="22" t="str">
        <f ca="1">IFERROR(FormatTimeSpan(NOW()-LOOKUP(2,1/(F317:ZZ317&lt;&gt;""),F317:ZZ317)),"")</f>
        <v>6天13小时44分19秒</v>
      </c>
      <c r="F317" s="20">
        <v>45918.36042824074</v>
      </c>
    </row>
    <row r="318" spans="1:6" x14ac:dyDescent="0.2">
      <c r="B318" s="5" t="b">
        <v>0</v>
      </c>
      <c r="C318" s="16" t="s">
        <v>379</v>
      </c>
      <c r="E318" s="22" t="str">
        <f ca="1">IFERROR(FormatTimeSpan(NOW()-LOOKUP(2,1/(F318:ZZ318&lt;&gt;""),F318:ZZ318)),"")</f>
        <v>6天13小时43分17秒</v>
      </c>
      <c r="F318" s="20">
        <v>45918.361145833333</v>
      </c>
    </row>
    <row r="319" spans="1:6" x14ac:dyDescent="0.2">
      <c r="B319" s="5" t="b">
        <v>0</v>
      </c>
      <c r="C319" s="16" t="s">
        <v>306</v>
      </c>
      <c r="E319" s="22" t="str">
        <f ca="1">IFERROR(FormatTimeSpan(NOW()-LOOKUP(2,1/(F319:ZZ319&lt;&gt;""),F319:ZZ319)),"")</f>
        <v>6天13小时36分29秒</v>
      </c>
      <c r="F319" s="20">
        <v>45918.365868055553</v>
      </c>
    </row>
    <row r="320" spans="1:6" x14ac:dyDescent="0.2">
      <c r="B320" s="5" t="b">
        <v>0</v>
      </c>
      <c r="C320" s="16" t="s">
        <v>307</v>
      </c>
      <c r="E320" s="22" t="str">
        <f ca="1">IFERROR(FormatTimeSpan(NOW()-LOOKUP(2,1/(F320:ZZ320&lt;&gt;""),F320:ZZ320)),"")</f>
        <v>6天13小时26分46秒</v>
      </c>
      <c r="F320" s="20">
        <v>45918.372615740744</v>
      </c>
    </row>
    <row r="321" spans="2:6" x14ac:dyDescent="0.2">
      <c r="B321" s="5" t="b">
        <v>0</v>
      </c>
      <c r="C321" s="16" t="s">
        <v>308</v>
      </c>
      <c r="E321" s="22" t="str">
        <f ca="1">IFERROR(FormatTimeSpan(NOW()-LOOKUP(2,1/(F321:ZZ321&lt;&gt;""),F321:ZZ321)),"")</f>
        <v>6天13小时18分29秒</v>
      </c>
      <c r="F321" s="20">
        <v>45918.378368055557</v>
      </c>
    </row>
    <row r="322" spans="2:6" x14ac:dyDescent="0.2">
      <c r="B322" s="5" t="b">
        <v>0</v>
      </c>
      <c r="C322" s="16" t="s">
        <v>309</v>
      </c>
      <c r="E322" s="22" t="str">
        <f ca="1">IFERROR(FormatTimeSpan(NOW()-LOOKUP(2,1/(F322:ZZ322&lt;&gt;""),F322:ZZ322)),"")</f>
        <v>6天13小时11分34秒</v>
      </c>
      <c r="F322" s="20">
        <v>45918.383171296293</v>
      </c>
    </row>
    <row r="323" spans="2:6" x14ac:dyDescent="0.2">
      <c r="B323" s="5" t="b">
        <v>0</v>
      </c>
      <c r="C323" s="16" t="s">
        <v>310</v>
      </c>
      <c r="E323" s="22" t="str">
        <f ca="1">IFERROR(FormatTimeSpan(NOW()-LOOKUP(2,1/(F323:ZZ323&lt;&gt;""),F323:ZZ323)),"")</f>
        <v>6天13小时7分51秒</v>
      </c>
      <c r="F323" s="20">
        <v>45918.385752314818</v>
      </c>
    </row>
    <row r="324" spans="2:6" x14ac:dyDescent="0.2">
      <c r="B324" s="5" t="b">
        <v>0</v>
      </c>
      <c r="C324" s="16" t="s">
        <v>311</v>
      </c>
      <c r="E324" s="22" t="str">
        <f ca="1">IFERROR(FormatTimeSpan(NOW()-LOOKUP(2,1/(F324:ZZ324&lt;&gt;""),F324:ZZ324)),"")</f>
        <v>6天13小时7分9秒</v>
      </c>
      <c r="F324" s="20">
        <v>45918.386238425926</v>
      </c>
    </row>
    <row r="325" spans="2:6" x14ac:dyDescent="0.2">
      <c r="B325" s="5" t="b">
        <v>0</v>
      </c>
      <c r="C325" s="16" t="s">
        <v>312</v>
      </c>
      <c r="E325" s="22" t="str">
        <f ca="1">IFERROR(FormatTimeSpan(NOW()-LOOKUP(2,1/(F325:ZZ325&lt;&gt;""),F325:ZZ325)),"")</f>
        <v>6天13小时2分59秒</v>
      </c>
      <c r="F325" s="20">
        <v>45918.389131944445</v>
      </c>
    </row>
    <row r="326" spans="2:6" x14ac:dyDescent="0.2">
      <c r="B326" s="5" t="b">
        <v>0</v>
      </c>
      <c r="C326" s="16" t="s">
        <v>381</v>
      </c>
      <c r="E326" s="22" t="str">
        <f ca="1">IFERROR(FormatTimeSpan(NOW()-LOOKUP(2,1/(F326:ZZ326&lt;&gt;""),F326:ZZ326)),"")</f>
        <v>5天7小时1分27秒</v>
      </c>
      <c r="F326" s="20">
        <v>45919.640196759261</v>
      </c>
    </row>
    <row r="327" spans="2:6" x14ac:dyDescent="0.2">
      <c r="B327" s="5" t="b">
        <v>0</v>
      </c>
      <c r="C327" s="16" t="s">
        <v>313</v>
      </c>
      <c r="E327" s="22" t="str">
        <f ca="1">IFERROR(FormatTimeSpan(NOW()-LOOKUP(2,1/(F327:ZZ327&lt;&gt;""),F327:ZZ327)),"")</f>
        <v>5天6小时59分59秒</v>
      </c>
      <c r="F327" s="20">
        <v>45919.641215277778</v>
      </c>
    </row>
    <row r="328" spans="2:6" x14ac:dyDescent="0.2">
      <c r="B328" s="5" t="b">
        <v>0</v>
      </c>
      <c r="C328" s="16" t="s">
        <v>314</v>
      </c>
      <c r="E328" s="22" t="str">
        <f ca="1">IFERROR(FormatTimeSpan(NOW()-LOOKUP(2,1/(F328:ZZ328&lt;&gt;""),F328:ZZ328)),"")</f>
        <v>5天6小时55分2秒</v>
      </c>
      <c r="F328" s="20">
        <v>45919.644652777781</v>
      </c>
    </row>
    <row r="329" spans="2:6" x14ac:dyDescent="0.2">
      <c r="B329" s="5" t="b">
        <v>0</v>
      </c>
      <c r="C329" s="16" t="s">
        <v>315</v>
      </c>
      <c r="E329" s="22" t="str">
        <f ca="1">IFERROR(FormatTimeSpan(NOW()-LOOKUP(2,1/(F329:ZZ329&lt;&gt;""),F329:ZZ329)),"")</f>
        <v>5天6小时52分5秒</v>
      </c>
      <c r="F329" s="20">
        <v>45919.646701388891</v>
      </c>
    </row>
    <row r="330" spans="2:6" x14ac:dyDescent="0.2">
      <c r="B330" s="5" t="b">
        <v>0</v>
      </c>
      <c r="C330" s="16" t="s">
        <v>316</v>
      </c>
      <c r="E330" s="22" t="str">
        <f ca="1">IFERROR(FormatTimeSpan(NOW()-LOOKUP(2,1/(F330:ZZ330&lt;&gt;""),F330:ZZ330)),"")</f>
        <v>5天6小时50分29秒</v>
      </c>
      <c r="F330" s="20">
        <v>45919.647812499999</v>
      </c>
    </row>
    <row r="331" spans="2:6" x14ac:dyDescent="0.2">
      <c r="B331" s="5" t="b">
        <v>0</v>
      </c>
      <c r="C331" s="16" t="s">
        <v>317</v>
      </c>
      <c r="E331" s="22" t="str">
        <f ca="1">IFERROR(FormatTimeSpan(NOW()-LOOKUP(2,1/(F331:ZZ331&lt;&gt;""),F331:ZZ331)),"")</f>
        <v>5天6小时45分58秒</v>
      </c>
      <c r="F331" s="20">
        <v>45919.650949074072</v>
      </c>
    </row>
    <row r="332" spans="2:6" x14ac:dyDescent="0.2">
      <c r="B332" s="5" t="b">
        <v>0</v>
      </c>
      <c r="C332" s="16" t="s">
        <v>318</v>
      </c>
      <c r="E332" s="22" t="str">
        <f ca="1">IFERROR(FormatTimeSpan(NOW()-LOOKUP(2,1/(F332:ZZ332&lt;&gt;""),F332:ZZ332)),"")</f>
        <v>5天6小时43分47秒</v>
      </c>
      <c r="F332" s="20">
        <v>45919.652465277781</v>
      </c>
    </row>
    <row r="333" spans="2:6" x14ac:dyDescent="0.2">
      <c r="B333" s="5" t="b">
        <v>0</v>
      </c>
      <c r="C333" s="16" t="s">
        <v>322</v>
      </c>
      <c r="E333" s="22" t="str">
        <f ca="1">IFERROR(FormatTimeSpan(NOW()-LOOKUP(2,1/(F333:ZZ333&lt;&gt;""),F333:ZZ333)),"")</f>
        <v>5天6小时29分33秒</v>
      </c>
      <c r="F333" s="20">
        <v>45919.662349537037</v>
      </c>
    </row>
    <row r="334" spans="2:6" x14ac:dyDescent="0.2">
      <c r="B334" s="5" t="b">
        <v>0</v>
      </c>
      <c r="C334" s="16" t="s">
        <v>319</v>
      </c>
      <c r="E334" s="22" t="str">
        <f ca="1">IFERROR(FormatTimeSpan(NOW()-LOOKUP(2,1/(F334:ZZ334&lt;&gt;""),F334:ZZ334)),"")</f>
        <v>5天6小时24分59秒</v>
      </c>
      <c r="F334" s="20">
        <v>45919.665520833332</v>
      </c>
    </row>
    <row r="335" spans="2:6" x14ac:dyDescent="0.2">
      <c r="B335" s="5" t="b">
        <v>0</v>
      </c>
      <c r="C335" s="16" t="s">
        <v>320</v>
      </c>
      <c r="E335" s="22" t="str">
        <f ca="1">IFERROR(FormatTimeSpan(NOW()-LOOKUP(2,1/(F335:ZZ335&lt;&gt;""),F335:ZZ335)),"")</f>
        <v>5天6小时20分18秒</v>
      </c>
      <c r="F335" s="20">
        <v>45919.668773148151</v>
      </c>
    </row>
    <row r="336" spans="2:6" x14ac:dyDescent="0.2">
      <c r="B336" s="5" t="b">
        <v>0</v>
      </c>
      <c r="C336" s="16" t="s">
        <v>321</v>
      </c>
      <c r="E336" s="22" t="str">
        <f ca="1">IFERROR(FormatTimeSpan(NOW()-LOOKUP(2,1/(F336:ZZ336&lt;&gt;""),F336:ZZ336)),"")</f>
        <v>5天6小时7分46秒</v>
      </c>
      <c r="F336" s="20">
        <v>45919.677476851852</v>
      </c>
    </row>
    <row r="337" spans="2:6" x14ac:dyDescent="0.2">
      <c r="B337" s="5" t="b">
        <v>0</v>
      </c>
      <c r="C337" s="16" t="s">
        <v>323</v>
      </c>
      <c r="E337" s="22" t="str">
        <f ca="1">IFERROR(FormatTimeSpan(NOW()-LOOKUP(2,1/(F337:ZZ337&lt;&gt;""),F337:ZZ337)),"")</f>
        <v>5天5小时58分29秒</v>
      </c>
      <c r="F337" s="20">
        <v>45919.683923611112</v>
      </c>
    </row>
    <row r="338" spans="2:6" x14ac:dyDescent="0.2">
      <c r="B338" s="5" t="b">
        <v>0</v>
      </c>
      <c r="C338" s="16" t="s">
        <v>324</v>
      </c>
      <c r="E338" s="22" t="str">
        <f ca="1">IFERROR(FormatTimeSpan(NOW()-LOOKUP(2,1/(F338:ZZ338&lt;&gt;""),F338:ZZ338)),"")</f>
        <v>5天5小时56分31秒</v>
      </c>
      <c r="F338" s="20">
        <v>45919.685289351852</v>
      </c>
    </row>
    <row r="339" spans="2:6" x14ac:dyDescent="0.2">
      <c r="B339" s="5" t="b">
        <v>0</v>
      </c>
      <c r="C339" s="16" t="s">
        <v>325</v>
      </c>
      <c r="E339" s="22" t="str">
        <f ca="1">IFERROR(FormatTimeSpan(NOW()-LOOKUP(2,1/(F339:ZZ339&lt;&gt;""),F339:ZZ339)),"")</f>
        <v>5天5小时55分59秒</v>
      </c>
      <c r="F339" s="20">
        <v>45919.685659722221</v>
      </c>
    </row>
    <row r="340" spans="2:6" x14ac:dyDescent="0.2">
      <c r="B340" s="5" t="b">
        <v>0</v>
      </c>
      <c r="C340" s="16" t="s">
        <v>326</v>
      </c>
      <c r="E340" s="22" t="str">
        <f ca="1">IFERROR(FormatTimeSpan(NOW()-LOOKUP(2,1/(F340:ZZ340&lt;&gt;""),F340:ZZ340)),"")</f>
        <v>5天5小时46分16秒</v>
      </c>
      <c r="F340" s="20">
        <v>45919.692407407405</v>
      </c>
    </row>
    <row r="341" spans="2:6" x14ac:dyDescent="0.2">
      <c r="B341" s="5" t="b">
        <v>0</v>
      </c>
      <c r="C341" s="16" t="s">
        <v>327</v>
      </c>
      <c r="E341" s="22" t="str">
        <f ca="1">IFERROR(FormatTimeSpan(NOW()-LOOKUP(2,1/(F341:ZZ341&lt;&gt;""),F341:ZZ341)),"")</f>
        <v>5天36分11秒</v>
      </c>
      <c r="F341" s="20">
        <v>45919.907743055555</v>
      </c>
    </row>
    <row r="342" spans="2:6" x14ac:dyDescent="0.2">
      <c r="B342" s="5" t="b">
        <v>0</v>
      </c>
      <c r="C342" s="16" t="s">
        <v>328</v>
      </c>
      <c r="E342" s="22" t="str">
        <f ca="1">IFERROR(FormatTimeSpan(NOW()-LOOKUP(2,1/(F342:ZZ342&lt;&gt;""),F342:ZZ342)),"")</f>
        <v>5天34分7秒</v>
      </c>
      <c r="F342" s="20">
        <v>45919.909178240741</v>
      </c>
    </row>
    <row r="343" spans="2:6" x14ac:dyDescent="0.2">
      <c r="B343" s="5" t="b">
        <v>0</v>
      </c>
      <c r="C343" s="16" t="s">
        <v>382</v>
      </c>
      <c r="E343" s="22" t="str">
        <f ca="1">IFERROR(FormatTimeSpan(NOW()-LOOKUP(2,1/(F343:ZZ343&lt;&gt;""),F343:ZZ343)),"")</f>
        <v>5天33分30秒</v>
      </c>
      <c r="F343" s="20">
        <v>45919.90960648148</v>
      </c>
    </row>
    <row r="344" spans="2:6" x14ac:dyDescent="0.2">
      <c r="B344" s="5" t="b">
        <v>0</v>
      </c>
      <c r="C344" s="16" t="s">
        <v>329</v>
      </c>
      <c r="E344" s="22" t="str">
        <f ca="1">IFERROR(FormatTimeSpan(NOW()-LOOKUP(2,1/(F344:ZZ344&lt;&gt;""),F344:ZZ344)),"")</f>
        <v>5天33分16秒</v>
      </c>
      <c r="F344" s="20">
        <v>45919.909768518519</v>
      </c>
    </row>
    <row r="345" spans="2:6" x14ac:dyDescent="0.2">
      <c r="B345" s="5" t="b">
        <v>0</v>
      </c>
      <c r="C345" s="16" t="s">
        <v>330</v>
      </c>
      <c r="E345" s="22" t="str">
        <f ca="1">IFERROR(FormatTimeSpan(NOW()-LOOKUP(2,1/(F345:ZZ345&lt;&gt;""),F345:ZZ345)),"")</f>
        <v>5天32分43秒</v>
      </c>
      <c r="F345" s="20">
        <v>45919.910150462965</v>
      </c>
    </row>
    <row r="346" spans="2:6" x14ac:dyDescent="0.2">
      <c r="B346" s="5" t="b">
        <v>0</v>
      </c>
      <c r="C346" s="16" t="s">
        <v>331</v>
      </c>
      <c r="E346" s="22" t="str">
        <f ca="1">IFERROR(FormatTimeSpan(NOW()-LOOKUP(2,1/(F346:ZZ346&lt;&gt;""),F346:ZZ346)),"")</f>
        <v>5天31分37秒</v>
      </c>
      <c r="F346" s="20">
        <v>45919.910914351851</v>
      </c>
    </row>
    <row r="347" spans="2:6" x14ac:dyDescent="0.2">
      <c r="B347" s="5" t="b">
        <v>0</v>
      </c>
      <c r="C347" s="16" t="s">
        <v>332</v>
      </c>
      <c r="E347" s="22" t="str">
        <f ca="1">IFERROR(FormatTimeSpan(NOW()-LOOKUP(2,1/(F347:ZZ347&lt;&gt;""),F347:ZZ347)),"")</f>
        <v>5天31分25秒</v>
      </c>
      <c r="F347" s="20">
        <v>45919.911053240743</v>
      </c>
    </row>
    <row r="348" spans="2:6" x14ac:dyDescent="0.2">
      <c r="B348" s="5" t="b">
        <v>0</v>
      </c>
      <c r="C348" s="16" t="s">
        <v>375</v>
      </c>
      <c r="E348" s="22" t="str">
        <f ca="1">IFERROR(FormatTimeSpan(NOW()-LOOKUP(2,1/(F348:ZZ348&lt;&gt;""),F348:ZZ348)),"")</f>
        <v>5天29分44秒</v>
      </c>
      <c r="F348" s="20">
        <v>45919.912222222221</v>
      </c>
    </row>
    <row r="349" spans="2:6" x14ac:dyDescent="0.2">
      <c r="B349" s="5" t="b">
        <v>0</v>
      </c>
      <c r="C349" s="16" t="s">
        <v>383</v>
      </c>
      <c r="E349" s="22" t="str">
        <f ca="1">IFERROR(FormatTimeSpan(NOW()-LOOKUP(2,1/(F349:ZZ349&lt;&gt;""),F349:ZZ349)),"")</f>
        <v>5天28分41秒</v>
      </c>
      <c r="F349" s="20">
        <v>45919.912951388891</v>
      </c>
    </row>
    <row r="350" spans="2:6" x14ac:dyDescent="0.2">
      <c r="B350" s="5" t="b">
        <v>0</v>
      </c>
      <c r="C350" s="16" t="s">
        <v>386</v>
      </c>
      <c r="E350" s="22" t="str">
        <f ca="1">IFERROR(FormatTimeSpan(NOW()-LOOKUP(2,1/(F350:ZZ350&lt;&gt;""),F350:ZZ350)),"")</f>
        <v>4天5小时9分38秒</v>
      </c>
      <c r="F350" s="20">
        <v>45920.717847222222</v>
      </c>
    </row>
    <row r="351" spans="2:6" x14ac:dyDescent="0.2">
      <c r="B351" s="5" t="b">
        <v>0</v>
      </c>
      <c r="C351" s="16" t="s">
        <v>333</v>
      </c>
      <c r="E351" s="22" t="str">
        <f ca="1">IFERROR(FormatTimeSpan(NOW()-LOOKUP(2,1/(F351:ZZ351&lt;&gt;""),F351:ZZ351)),"")</f>
        <v>4天5小时7分44秒</v>
      </c>
      <c r="F351" s="20">
        <v>45920.719166666669</v>
      </c>
    </row>
    <row r="352" spans="2:6" x14ac:dyDescent="0.2">
      <c r="B352" s="5" t="b">
        <v>0</v>
      </c>
      <c r="C352" s="16" t="s">
        <v>334</v>
      </c>
      <c r="E352" s="22" t="str">
        <f ca="1">IFERROR(FormatTimeSpan(NOW()-LOOKUP(2,1/(F352:ZZ352&lt;&gt;""),F352:ZZ352)),"")</f>
        <v>4天5小时6分9秒</v>
      </c>
      <c r="F352" s="20">
        <v>45920.720266203702</v>
      </c>
    </row>
    <row r="353" spans="2:6" x14ac:dyDescent="0.2">
      <c r="B353" s="5" t="b">
        <v>0</v>
      </c>
      <c r="C353" s="16" t="s">
        <v>335</v>
      </c>
      <c r="E353" s="22" t="str">
        <f ca="1">IFERROR(FormatTimeSpan(NOW()-LOOKUP(2,1/(F353:ZZ353&lt;&gt;""),F353:ZZ353)),"")</f>
        <v>4天5小时5分37秒</v>
      </c>
      <c r="F353" s="20">
        <v>45920.720636574071</v>
      </c>
    </row>
    <row r="354" spans="2:6" x14ac:dyDescent="0.2">
      <c r="B354" s="5" t="b">
        <v>0</v>
      </c>
      <c r="C354" s="16" t="s">
        <v>336</v>
      </c>
      <c r="E354" s="22" t="str">
        <f ca="1">IFERROR(FormatTimeSpan(NOW()-LOOKUP(2,1/(F354:ZZ354&lt;&gt;""),F354:ZZ354)),"")</f>
        <v>4天5小时3分21秒</v>
      </c>
      <c r="F354" s="20">
        <v>45920.722210648149</v>
      </c>
    </row>
    <row r="355" spans="2:6" x14ac:dyDescent="0.2">
      <c r="B355" s="5" t="b">
        <v>0</v>
      </c>
      <c r="C355" s="16" t="s">
        <v>337</v>
      </c>
      <c r="E355" s="22" t="str">
        <f ca="1">IFERROR(FormatTimeSpan(NOW()-LOOKUP(2,1/(F355:ZZ355&lt;&gt;""),F355:ZZ355)),"")</f>
        <v>4天5小时17秒</v>
      </c>
      <c r="F355" s="20">
        <v>45920.724340277775</v>
      </c>
    </row>
    <row r="356" spans="2:6" x14ac:dyDescent="0.2">
      <c r="B356" s="5" t="b">
        <v>0</v>
      </c>
      <c r="C356" s="16" t="s">
        <v>384</v>
      </c>
      <c r="E356" s="22" t="str">
        <f ca="1">IFERROR(FormatTimeSpan(NOW()-LOOKUP(2,1/(F356:ZZ356&lt;&gt;""),F356:ZZ356)),"")</f>
        <v>4天4小时53分43秒</v>
      </c>
      <c r="F356" s="20">
        <v>45920.728900462964</v>
      </c>
    </row>
    <row r="357" spans="2:6" x14ac:dyDescent="0.2">
      <c r="B357" s="5" t="b">
        <v>0</v>
      </c>
      <c r="C357" s="16" t="s">
        <v>385</v>
      </c>
      <c r="E357" s="22" t="str">
        <f ca="1">IFERROR(FormatTimeSpan(NOW()-LOOKUP(2,1/(F357:ZZ357&lt;&gt;""),F357:ZZ357)),"")</f>
        <v>4天4小时47分6秒</v>
      </c>
      <c r="F357" s="20">
        <v>45920.733495370368</v>
      </c>
    </row>
    <row r="358" spans="2:6" x14ac:dyDescent="0.2">
      <c r="B358" s="5" t="b">
        <v>0</v>
      </c>
      <c r="C358" s="16" t="s">
        <v>338</v>
      </c>
      <c r="E358" s="22" t="str">
        <f ca="1">IFERROR(FormatTimeSpan(NOW()-LOOKUP(2,1/(F358:ZZ358&lt;&gt;""),F358:ZZ358)),"")</f>
        <v>4天4小时41分44秒</v>
      </c>
      <c r="F358" s="20">
        <v>45920.737222222226</v>
      </c>
    </row>
    <row r="359" spans="2:6" x14ac:dyDescent="0.2">
      <c r="B359" s="5" t="b">
        <v>0</v>
      </c>
      <c r="C359" s="16" t="s">
        <v>339</v>
      </c>
      <c r="E359" s="22" t="str">
        <f ca="1">IFERROR(FormatTimeSpan(NOW()-LOOKUP(2,1/(F359:ZZ359&lt;&gt;""),F359:ZZ359)),"")</f>
        <v>4天4小时38分43秒</v>
      </c>
      <c r="F359" s="20">
        <v>45920.739317129628</v>
      </c>
    </row>
    <row r="360" spans="2:6" x14ac:dyDescent="0.2">
      <c r="B360" s="5" t="b">
        <v>0</v>
      </c>
      <c r="C360" s="16" t="s">
        <v>340</v>
      </c>
      <c r="E360" s="22" t="str">
        <f ca="1">IFERROR(FormatTimeSpan(NOW()-LOOKUP(2,1/(F360:ZZ360&lt;&gt;""),F360:ZZ360)),"")</f>
        <v>4天4小时35分49秒</v>
      </c>
      <c r="F360" s="20">
        <v>45920.741331018522</v>
      </c>
    </row>
    <row r="361" spans="2:6" x14ac:dyDescent="0.2">
      <c r="B361" s="5" t="b">
        <v>0</v>
      </c>
      <c r="C361" s="16" t="s">
        <v>341</v>
      </c>
      <c r="E361" s="22" t="str">
        <f ca="1">IFERROR(FormatTimeSpan(NOW()-LOOKUP(2,1/(F361:ZZ361&lt;&gt;""),F361:ZZ361)),"")</f>
        <v>1天5小时11分53秒</v>
      </c>
      <c r="F361" s="20">
        <v>45923.716284722221</v>
      </c>
    </row>
    <row r="362" spans="2:6" x14ac:dyDescent="0.2">
      <c r="B362" s="5" t="b">
        <v>0</v>
      </c>
      <c r="C362" s="16" t="s">
        <v>342</v>
      </c>
      <c r="E362" s="22" t="str">
        <f ca="1">IFERROR(FormatTimeSpan(NOW()-LOOKUP(2,1/(F362:ZZ362&lt;&gt;""),F362:ZZ362)),"")</f>
        <v>1天5小时9分36秒</v>
      </c>
      <c r="F362" s="20">
        <v>45923.717870370368</v>
      </c>
    </row>
    <row r="363" spans="2:6" x14ac:dyDescent="0.2">
      <c r="B363" s="5" t="b">
        <v>0</v>
      </c>
      <c r="C363" s="16" t="s">
        <v>343</v>
      </c>
      <c r="E363" s="22" t="str">
        <f ca="1">IFERROR(FormatTimeSpan(NOW()-LOOKUP(2,1/(F363:ZZ363&lt;&gt;""),F363:ZZ363)),"")</f>
        <v>1天5小时5分51秒</v>
      </c>
      <c r="F363" s="20">
        <v>45923.72047453704</v>
      </c>
    </row>
    <row r="364" spans="2:6" x14ac:dyDescent="0.2">
      <c r="B364" s="5" t="b">
        <v>0</v>
      </c>
      <c r="C364" s="16" t="s">
        <v>344</v>
      </c>
      <c r="E364" s="22" t="str">
        <f ca="1">IFERROR(FormatTimeSpan(NOW()-LOOKUP(2,1/(F364:ZZ364&lt;&gt;""),F364:ZZ364)),"")</f>
        <v>1天5小时2分60秒</v>
      </c>
      <c r="F364" s="20">
        <v>45923.722453703704</v>
      </c>
    </row>
    <row r="365" spans="2:6" x14ac:dyDescent="0.2">
      <c r="B365" s="5" t="b">
        <v>0</v>
      </c>
      <c r="C365" s="16" t="s">
        <v>345</v>
      </c>
      <c r="E365" s="22" t="str">
        <f ca="1">IFERROR(FormatTimeSpan(NOW()-LOOKUP(2,1/(F365:ZZ365&lt;&gt;""),F365:ZZ365)),"")</f>
        <v>1天5小时2分17秒</v>
      </c>
      <c r="F365" s="20">
        <v>45923.722951388889</v>
      </c>
    </row>
    <row r="366" spans="2:6" x14ac:dyDescent="0.2">
      <c r="B366" s="5" t="b">
        <v>0</v>
      </c>
      <c r="C366" s="16" t="s">
        <v>346</v>
      </c>
      <c r="E366" s="22" t="str">
        <f ca="1">IFERROR(FormatTimeSpan(NOW()-LOOKUP(2,1/(F366:ZZ366&lt;&gt;""),F366:ZZ366)),"")</f>
        <v>1天5小时2分16秒</v>
      </c>
      <c r="F366" s="20">
        <v>45923.722962962966</v>
      </c>
    </row>
    <row r="367" spans="2:6" x14ac:dyDescent="0.2">
      <c r="B367" s="5" t="b">
        <v>0</v>
      </c>
      <c r="C367" s="16" t="s">
        <v>347</v>
      </c>
      <c r="E367" s="22" t="str">
        <f ca="1">IFERROR(FormatTimeSpan(NOW()-LOOKUP(2,1/(F367:ZZ367&lt;&gt;""),F367:ZZ367)),"")</f>
        <v>1天5小时2分8秒</v>
      </c>
      <c r="F367" s="20">
        <v>45923.723055555558</v>
      </c>
    </row>
    <row r="368" spans="2:6" x14ac:dyDescent="0.2">
      <c r="B368" s="5" t="b">
        <v>0</v>
      </c>
      <c r="C368" s="16" t="s">
        <v>348</v>
      </c>
      <c r="E368" s="22" t="str">
        <f ca="1">IFERROR(FormatTimeSpan(NOW()-LOOKUP(2,1/(F368:ZZ368&lt;&gt;""),F368:ZZ368)),"")</f>
        <v>1天5小时1分27秒</v>
      </c>
      <c r="F368" s="20">
        <v>45923.723530092589</v>
      </c>
    </row>
    <row r="369" spans="2:6" x14ac:dyDescent="0.2">
      <c r="B369" s="5" t="b">
        <v>0</v>
      </c>
      <c r="C369" s="16" t="s">
        <v>387</v>
      </c>
      <c r="E369" s="22" t="str">
        <f ca="1">IFERROR(FormatTimeSpan(NOW()-LOOKUP(2,1/(F369:ZZ369&lt;&gt;""),F369:ZZ369)),"")</f>
        <v>1天4小时59分36秒</v>
      </c>
      <c r="F369" s="20">
        <v>45923.724814814814</v>
      </c>
    </row>
    <row r="370" spans="2:6" x14ac:dyDescent="0.2">
      <c r="B370" s="5" t="b">
        <v>0</v>
      </c>
      <c r="C370" s="16" t="s">
        <v>349</v>
      </c>
      <c r="E370" s="22" t="str">
        <f ca="1">IFERROR(FormatTimeSpan(NOW()-LOOKUP(2,1/(F370:ZZ370&lt;&gt;""),F370:ZZ370)),"")</f>
        <v>1天4小时53分47秒</v>
      </c>
      <c r="F370" s="20">
        <v>45923.728854166664</v>
      </c>
    </row>
    <row r="371" spans="2:6" x14ac:dyDescent="0.2">
      <c r="B371" s="5" t="b">
        <v>0</v>
      </c>
      <c r="C371" s="16" t="s">
        <v>350</v>
      </c>
      <c r="E371" s="22" t="str">
        <f ca="1">IFERROR(FormatTimeSpan(NOW()-LOOKUP(2,1/(F371:ZZ371&lt;&gt;""),F371:ZZ371)),"")</f>
        <v>1天4小时51分49秒</v>
      </c>
      <c r="F371" s="20">
        <v>45923.730219907404</v>
      </c>
    </row>
    <row r="372" spans="2:6" x14ac:dyDescent="0.2">
      <c r="B372" s="5" t="b">
        <v>0</v>
      </c>
      <c r="C372" s="16" t="s">
        <v>389</v>
      </c>
      <c r="E372" s="22" t="str">
        <f ca="1">IFERROR(FormatTimeSpan(NOW()-LOOKUP(2,1/(F372:ZZ372&lt;&gt;""),F372:ZZ372)),"")</f>
        <v>1天4小时45分24秒</v>
      </c>
      <c r="F372" s="20">
        <v>45923.734675925924</v>
      </c>
    </row>
    <row r="373" spans="2:6" x14ac:dyDescent="0.2">
      <c r="B373" s="5" t="b">
        <v>0</v>
      </c>
      <c r="C373" s="16" t="s">
        <v>390</v>
      </c>
      <c r="E373" s="22" t="str">
        <f ca="1">IFERROR(FormatTimeSpan(NOW()-LOOKUP(2,1/(F373:ZZ373&lt;&gt;""),F373:ZZ373)),"")</f>
        <v>1天4小时43分1秒</v>
      </c>
      <c r="F373" s="20">
        <v>45923.736331018517</v>
      </c>
    </row>
    <row r="374" spans="2:6" x14ac:dyDescent="0.2">
      <c r="B374" s="5" t="b">
        <v>0</v>
      </c>
      <c r="C374" s="16" t="s">
        <v>351</v>
      </c>
      <c r="E374" s="22" t="str">
        <f ca="1">IFERROR(FormatTimeSpan(NOW()-LOOKUP(2,1/(F374:ZZ374&lt;&gt;""),F374:ZZ374)),"")</f>
        <v>1天4小时41分10秒</v>
      </c>
      <c r="F374" s="20">
        <v>45923.737615740742</v>
      </c>
    </row>
    <row r="375" spans="2:6" x14ac:dyDescent="0.2">
      <c r="B375" s="5" t="b">
        <v>0</v>
      </c>
      <c r="C375" s="16" t="s">
        <v>388</v>
      </c>
      <c r="E375" s="22" t="str">
        <f ca="1">IFERROR(FormatTimeSpan(NOW()-LOOKUP(2,1/(F375:ZZ375&lt;&gt;""),F375:ZZ375)),"")</f>
        <v>1天4小时40分60秒</v>
      </c>
      <c r="F375" s="20">
        <v>45923.73773148148</v>
      </c>
    </row>
    <row r="376" spans="2:6" x14ac:dyDescent="0.2">
      <c r="B376" s="5" t="b">
        <v>0</v>
      </c>
      <c r="C376" s="16" t="s">
        <v>391</v>
      </c>
      <c r="E376" s="22" t="str">
        <f ca="1">IFERROR(FormatTimeSpan(NOW()-LOOKUP(2,1/(F376:ZZ376&lt;&gt;""),F376:ZZ376)),"")</f>
        <v>1天4小时37分31秒</v>
      </c>
      <c r="F376" s="20">
        <v>45923.74015046296</v>
      </c>
    </row>
    <row r="377" spans="2:6" x14ac:dyDescent="0.2">
      <c r="B377" s="5" t="b">
        <v>0</v>
      </c>
      <c r="C377" s="16" t="s">
        <v>352</v>
      </c>
      <c r="E377" s="22" t="str">
        <f ca="1">IFERROR(FormatTimeSpan(NOW()-LOOKUP(2,1/(F377:ZZ377&lt;&gt;""),F377:ZZ377)),"")</f>
        <v>1天4小时35分48秒</v>
      </c>
      <c r="F377" s="20">
        <v>45923.741342592592</v>
      </c>
    </row>
    <row r="378" spans="2:6" x14ac:dyDescent="0.2">
      <c r="B378" s="5" t="b">
        <v>0</v>
      </c>
      <c r="C378" s="16" t="s">
        <v>394</v>
      </c>
      <c r="E378" s="22" t="str">
        <f ca="1">IFERROR(FormatTimeSpan(NOW()-LOOKUP(2,1/(F378:ZZ378&lt;&gt;""),F378:ZZ378)),"")</f>
        <v>1天4小时22分17秒</v>
      </c>
      <c r="F378" s="20">
        <v>45923.75072916667</v>
      </c>
    </row>
    <row r="379" spans="2:6" x14ac:dyDescent="0.2">
      <c r="B379" s="5" t="b">
        <v>0</v>
      </c>
      <c r="C379" s="16" t="s">
        <v>395</v>
      </c>
      <c r="E379" s="22" t="str">
        <f ca="1">IFERROR(FormatTimeSpan(NOW()-LOOKUP(2,1/(F379:ZZ379&lt;&gt;""),F379:ZZ379)),"")</f>
        <v>1天4小时16分28秒</v>
      </c>
      <c r="F379" s="20">
        <v>45923.75476851852</v>
      </c>
    </row>
    <row r="380" spans="2:6" x14ac:dyDescent="0.2">
      <c r="B380" s="5" t="b">
        <v>0</v>
      </c>
      <c r="C380" s="16" t="s">
        <v>396</v>
      </c>
      <c r="E380" s="22" t="str">
        <f ca="1">IFERROR(FormatTimeSpan(NOW()-LOOKUP(2,1/(F380:ZZ380&lt;&gt;""),F380:ZZ380)),"")</f>
        <v>1天4小时7分7秒</v>
      </c>
      <c r="F380" s="20">
        <v>45923.761261574073</v>
      </c>
    </row>
    <row r="381" spans="2:6" x14ac:dyDescent="0.2">
      <c r="B381" s="5" t="b">
        <v>0</v>
      </c>
      <c r="C381" s="16" t="s">
        <v>397</v>
      </c>
      <c r="E381" s="22" t="str">
        <f ca="1">IFERROR(FormatTimeSpan(NOW()-LOOKUP(2,1/(F381:ZZ381&lt;&gt;""),F381:ZZ381)),"")</f>
        <v>1天3小时59分60秒</v>
      </c>
      <c r="F381" s="20">
        <v>45923.766203703701</v>
      </c>
    </row>
    <row r="382" spans="2:6" x14ac:dyDescent="0.2">
      <c r="B382" s="5" t="b">
        <v>0</v>
      </c>
      <c r="C382" s="16" t="s">
        <v>398</v>
      </c>
      <c r="E382" s="22" t="str">
        <f ca="1">IFERROR(FormatTimeSpan(NOW()-LOOKUP(2,1/(F382:ZZ382&lt;&gt;""),F382:ZZ382)),"")</f>
        <v>1天3小时58分5秒</v>
      </c>
      <c r="F382" s="20">
        <v>45923.767534722225</v>
      </c>
    </row>
    <row r="383" spans="2:6" x14ac:dyDescent="0.2">
      <c r="B383" s="5" t="b">
        <v>0</v>
      </c>
      <c r="C383" s="16" t="s">
        <v>393</v>
      </c>
      <c r="E383" s="22" t="str">
        <f ca="1">IFERROR(FormatTimeSpan(NOW()-LOOKUP(2,1/(F383:ZZ383&lt;&gt;""),F383:ZZ383)),"")</f>
        <v>1天3小时50分9秒</v>
      </c>
      <c r="F383" s="20">
        <v>45923.773043981484</v>
      </c>
    </row>
    <row r="384" spans="2:6" x14ac:dyDescent="0.2">
      <c r="B384" s="5" t="b">
        <v>0</v>
      </c>
      <c r="C384" s="16" t="s">
        <v>399</v>
      </c>
      <c r="E384" s="22" t="str">
        <f ca="1">IFERROR(FormatTimeSpan(NOW()-LOOKUP(2,1/(F384:ZZ384&lt;&gt;""),F384:ZZ384)),"")</f>
        <v>1天2小时14分60秒</v>
      </c>
      <c r="F384" s="20">
        <v>45923.839120370372</v>
      </c>
    </row>
    <row r="385" spans="2:6" x14ac:dyDescent="0.2">
      <c r="B385" s="5" t="b">
        <v>0</v>
      </c>
      <c r="C385" s="16" t="s">
        <v>392</v>
      </c>
      <c r="E385" s="22" t="str">
        <f ca="1">IFERROR(FormatTimeSpan(NOW()-LOOKUP(2,1/(F385:ZZ385&lt;&gt;""),F385:ZZ385)),"")</f>
        <v>1天2小时10分40秒</v>
      </c>
      <c r="F385" s="20">
        <v>45923.842129629629</v>
      </c>
    </row>
    <row r="386" spans="2:6" x14ac:dyDescent="0.2">
      <c r="B386" s="5" t="b">
        <v>0</v>
      </c>
      <c r="C386" s="16" t="s">
        <v>353</v>
      </c>
      <c r="E386" s="22" t="str">
        <f ca="1">IFERROR(FormatTimeSpan(NOW()-LOOKUP(2,1/(F386:ZZ386&lt;&gt;""),F386:ZZ386)),"")</f>
        <v>1天1小时47分9秒</v>
      </c>
      <c r="F386" s="20">
        <v>45923.858460648145</v>
      </c>
    </row>
    <row r="387" spans="2:6" x14ac:dyDescent="0.2">
      <c r="B387" s="5" t="b">
        <v>0</v>
      </c>
      <c r="C387" s="16" t="s">
        <v>354</v>
      </c>
      <c r="E387" s="22" t="str">
        <f ca="1">IFERROR(FormatTimeSpan(NOW()-LOOKUP(2,1/(F387:ZZ387&lt;&gt;""),F387:ZZ387)),"")</f>
        <v>1天1小时34分26秒</v>
      </c>
      <c r="F387" s="20">
        <v>45923.867291666669</v>
      </c>
    </row>
    <row r="388" spans="2:6" x14ac:dyDescent="0.2">
      <c r="B388" s="5" t="b">
        <v>0</v>
      </c>
      <c r="C388" s="16" t="s">
        <v>400</v>
      </c>
      <c r="E388" s="22" t="str">
        <f ca="1">IFERROR(FormatTimeSpan(NOW()-LOOKUP(2,1/(F388:ZZ388&lt;&gt;""),F388:ZZ388)),"")</f>
        <v>1天1小时14分59秒</v>
      </c>
      <c r="F388" s="20">
        <v>45923.880798611113</v>
      </c>
    </row>
    <row r="389" spans="2:6" x14ac:dyDescent="0.2">
      <c r="B389" s="5" t="b">
        <v>0</v>
      </c>
      <c r="C389" s="16" t="s">
        <v>355</v>
      </c>
      <c r="E389" s="22" t="str">
        <f ca="1">IFERROR(FormatTimeSpan(NOW()-LOOKUP(2,1/(F389:ZZ389&lt;&gt;""),F389:ZZ389)),"")</f>
        <v>1天1小时11分56秒</v>
      </c>
      <c r="F389" s="20">
        <v>45923.882916666669</v>
      </c>
    </row>
    <row r="390" spans="2:6" x14ac:dyDescent="0.2">
      <c r="B390" s="5" t="b">
        <v>0</v>
      </c>
      <c r="C390" s="16" t="s">
        <v>356</v>
      </c>
      <c r="E390" s="22" t="str">
        <f ca="1">IFERROR(FormatTimeSpan(NOW()-LOOKUP(2,1/(F390:ZZ390&lt;&gt;""),F390:ZZ390)),"")</f>
        <v>1天1小时11分13秒</v>
      </c>
      <c r="F390" s="20">
        <v>45923.883414351854</v>
      </c>
    </row>
    <row r="391" spans="2:6" x14ac:dyDescent="0.2">
      <c r="B391" s="5" t="b">
        <v>0</v>
      </c>
      <c r="C391" s="16" t="s">
        <v>357</v>
      </c>
      <c r="E391" s="22" t="str">
        <f ca="1">IFERROR(FormatTimeSpan(NOW()-LOOKUP(2,1/(F391:ZZ391&lt;&gt;""),F391:ZZ391)),"")</f>
        <v>1天1小时8分39秒</v>
      </c>
      <c r="F391" s="20">
        <v>45923.885196759256</v>
      </c>
    </row>
    <row r="392" spans="2:6" x14ac:dyDescent="0.2">
      <c r="B392" s="5" t="b">
        <v>0</v>
      </c>
      <c r="C392" s="16" t="s">
        <v>358</v>
      </c>
      <c r="E392" s="22" t="str">
        <f ca="1">IFERROR(FormatTimeSpan(NOW()-LOOKUP(2,1/(F392:ZZ392&lt;&gt;""),F392:ZZ392)),"")</f>
        <v>1天1小时5分57秒</v>
      </c>
      <c r="F392" s="20">
        <v>45923.887071759258</v>
      </c>
    </row>
    <row r="393" spans="2:6" x14ac:dyDescent="0.2">
      <c r="B393" s="5" t="b">
        <v>0</v>
      </c>
      <c r="C393" s="16" t="s">
        <v>359</v>
      </c>
      <c r="E393" s="22" t="str">
        <f ca="1">IFERROR(FormatTimeSpan(NOW()-LOOKUP(2,1/(F393:ZZ393&lt;&gt;""),F393:ZZ393)),"")</f>
        <v>1天58分23秒</v>
      </c>
      <c r="F393" s="20">
        <v>45923.892326388886</v>
      </c>
    </row>
    <row r="394" spans="2:6" x14ac:dyDescent="0.2">
      <c r="B394" s="5" t="b">
        <v>0</v>
      </c>
      <c r="C394" s="16" t="s">
        <v>360</v>
      </c>
      <c r="E394" s="22" t="str">
        <f ca="1">IFERROR(FormatTimeSpan(NOW()-LOOKUP(2,1/(F394:ZZ394&lt;&gt;""),F394:ZZ394)),"")</f>
        <v>1天57分46秒</v>
      </c>
      <c r="F394" s="20">
        <v>45923.892754629633</v>
      </c>
    </row>
    <row r="395" spans="2:6" x14ac:dyDescent="0.2">
      <c r="B395" s="5" t="b">
        <v>0</v>
      </c>
      <c r="C395" s="16" t="s">
        <v>361</v>
      </c>
      <c r="E395" s="22" t="str">
        <f ca="1">IFERROR(FormatTimeSpan(NOW()-LOOKUP(2,1/(F395:ZZ395&lt;&gt;""),F395:ZZ395)),"")</f>
        <v>1天53分57秒</v>
      </c>
      <c r="F395" s="20">
        <v>45923.895405092589</v>
      </c>
    </row>
    <row r="396" spans="2:6" x14ac:dyDescent="0.2">
      <c r="B396" s="5" t="b">
        <v>0</v>
      </c>
      <c r="C396" s="16" t="s">
        <v>401</v>
      </c>
      <c r="E396" s="22" t="str">
        <f ca="1">IFERROR(FormatTimeSpan(NOW()-LOOKUP(2,1/(F396:ZZ396&lt;&gt;""),F396:ZZ396)),"")</f>
        <v>1天53分29秒</v>
      </c>
      <c r="F396" s="20">
        <v>45923.895729166667</v>
      </c>
    </row>
    <row r="397" spans="2:6" x14ac:dyDescent="0.2">
      <c r="B397" s="5" t="b">
        <v>0</v>
      </c>
      <c r="E397" s="30" t="str">
        <f ca="1">IFERROR(FormatTimeSpan(NOW()-LOOKUP(2,1/(F397:ZZ397&lt;&gt;""),F397:ZZ397)),"")</f>
        <v/>
      </c>
    </row>
    <row r="398" spans="2:6" x14ac:dyDescent="0.2">
      <c r="B398" s="5" t="b">
        <v>0</v>
      </c>
      <c r="E398" s="30" t="str">
        <f ca="1">IFERROR(FormatTimeSpan(NOW()-LOOKUP(2,1/(F398:ZZ398&lt;&gt;""),F398:ZZ398)),"")</f>
        <v/>
      </c>
    </row>
    <row r="399" spans="2:6" x14ac:dyDescent="0.2">
      <c r="B399" s="5" t="b">
        <v>0</v>
      </c>
      <c r="E399" s="30" t="str">
        <f ca="1">IFERROR(FormatTimeSpan(NOW()-LOOKUP(2,1/(F399:ZZ399&lt;&gt;""),F399:ZZ399)),"")</f>
        <v/>
      </c>
    </row>
    <row r="400" spans="2:6" x14ac:dyDescent="0.2">
      <c r="B400" s="5" t="b">
        <v>0</v>
      </c>
      <c r="E400" s="30" t="str">
        <f ca="1">IFERROR(FormatTimeSpan(NOW()-LOOKUP(2,1/(F400:ZZ400&lt;&gt;""),F400:ZZ400)),"")</f>
        <v/>
      </c>
    </row>
    <row r="401" spans="1:12" x14ac:dyDescent="0.2">
      <c r="B401" s="5" t="b">
        <v>0</v>
      </c>
      <c r="E401" s="30" t="str">
        <f ca="1">IFERROR(FormatTimeSpan(NOW()-LOOKUP(2,1/(F401:ZZ401&lt;&gt;""),F401:ZZ401)),"")</f>
        <v/>
      </c>
    </row>
    <row r="402" spans="1:12" x14ac:dyDescent="0.2">
      <c r="B402" s="5" t="b">
        <v>0</v>
      </c>
      <c r="E402" s="30" t="str">
        <f ca="1">IFERROR(FormatTimeSpan(NOW()-LOOKUP(2,1/(F402:ZZ402&lt;&gt;""),F402:ZZ402)),"")</f>
        <v/>
      </c>
    </row>
    <row r="403" spans="1:12" x14ac:dyDescent="0.2">
      <c r="B403" s="5" t="b">
        <v>0</v>
      </c>
      <c r="E403" s="30" t="str">
        <f ca="1">IFERROR(FormatTimeSpan(NOW()-LOOKUP(2,1/(F403:ZZ403&lt;&gt;""),F403:ZZ403)),"")</f>
        <v/>
      </c>
    </row>
    <row r="404" spans="1:12" x14ac:dyDescent="0.2">
      <c r="B404" s="5" t="b">
        <v>0</v>
      </c>
      <c r="E404" s="30" t="str">
        <f ca="1">IFERROR(FormatTimeSpan(NOW()-LOOKUP(2,1/(F404:ZZ404&lt;&gt;""),F404:ZZ404)),"")</f>
        <v/>
      </c>
    </row>
    <row r="405" spans="1:12" x14ac:dyDescent="0.2">
      <c r="B405" s="5" t="b">
        <v>0</v>
      </c>
      <c r="E405" s="30" t="str">
        <f ca="1">IFERROR(FormatTimeSpan(NOW()-LOOKUP(2,1/(F405:ZZ405&lt;&gt;""),F405:ZZ405)),"")</f>
        <v/>
      </c>
    </row>
    <row r="406" spans="1:12" ht="14.25" x14ac:dyDescent="0.2">
      <c r="A406"/>
      <c r="B406"/>
      <c r="C406"/>
      <c r="E406" s="31"/>
      <c r="F406"/>
      <c r="G406"/>
      <c r="H406"/>
      <c r="I406"/>
      <c r="J406"/>
      <c r="K406"/>
      <c r="L406"/>
    </row>
    <row r="407" spans="1:12" ht="14.25" x14ac:dyDescent="0.2">
      <c r="A407"/>
      <c r="B407"/>
      <c r="C407"/>
      <c r="E407" s="31"/>
      <c r="F407"/>
      <c r="G407"/>
      <c r="H407"/>
      <c r="I407"/>
      <c r="J407"/>
      <c r="K407"/>
      <c r="L407"/>
    </row>
    <row r="408" spans="1:12" ht="14.25" x14ac:dyDescent="0.2">
      <c r="A408"/>
      <c r="B408"/>
      <c r="C408"/>
      <c r="E408" s="31"/>
      <c r="F408"/>
      <c r="G408"/>
      <c r="H408"/>
      <c r="I408"/>
      <c r="J408"/>
      <c r="K408"/>
      <c r="L408"/>
    </row>
    <row r="409" spans="1:12" ht="14.25" x14ac:dyDescent="0.2">
      <c r="A409"/>
      <c r="B409"/>
      <c r="C409"/>
      <c r="E409" s="31"/>
      <c r="F409"/>
      <c r="G409"/>
      <c r="H409"/>
      <c r="I409"/>
      <c r="J409"/>
      <c r="K409"/>
      <c r="L409"/>
    </row>
    <row r="410" spans="1:12" ht="14.25" x14ac:dyDescent="0.2">
      <c r="A410"/>
      <c r="B410"/>
      <c r="C410"/>
      <c r="E410" s="31"/>
      <c r="F410"/>
      <c r="G410"/>
      <c r="H410"/>
      <c r="I410"/>
      <c r="J410"/>
      <c r="K410"/>
      <c r="L410"/>
    </row>
    <row r="411" spans="1:12" ht="14.25" x14ac:dyDescent="0.2">
      <c r="A411"/>
      <c r="B411"/>
      <c r="C411"/>
      <c r="E411" s="31"/>
      <c r="F411"/>
      <c r="G411"/>
      <c r="H411"/>
      <c r="I411"/>
      <c r="J411"/>
      <c r="K411"/>
      <c r="L411"/>
    </row>
    <row r="412" spans="1:12" ht="14.25" x14ac:dyDescent="0.2">
      <c r="A412"/>
      <c r="B412"/>
      <c r="C412"/>
      <c r="E412" s="31"/>
      <c r="F412"/>
      <c r="G412"/>
      <c r="H412"/>
      <c r="I412"/>
      <c r="J412"/>
      <c r="K412"/>
      <c r="L412"/>
    </row>
    <row r="413" spans="1:12" ht="14.25" x14ac:dyDescent="0.2">
      <c r="A413"/>
      <c r="B413"/>
      <c r="C413"/>
      <c r="E413" s="31"/>
      <c r="F413"/>
      <c r="G413"/>
      <c r="H413"/>
      <c r="I413"/>
      <c r="J413"/>
      <c r="K413"/>
      <c r="L413"/>
    </row>
    <row r="414" spans="1:12" ht="14.25" x14ac:dyDescent="0.2">
      <c r="A414"/>
      <c r="B414"/>
      <c r="C414"/>
      <c r="E414" s="31"/>
      <c r="F414"/>
    </row>
    <row r="415" spans="1:12" ht="14.25" x14ac:dyDescent="0.2">
      <c r="A415"/>
      <c r="B415"/>
      <c r="C415"/>
      <c r="E415" s="31"/>
      <c r="F415"/>
    </row>
    <row r="416" spans="1:12" ht="14.25" x14ac:dyDescent="0.2">
      <c r="A416"/>
      <c r="B416"/>
      <c r="C416"/>
      <c r="E416" s="31"/>
      <c r="F416"/>
    </row>
    <row r="417" spans="5:5" x14ac:dyDescent="0.2">
      <c r="E417" s="31"/>
    </row>
    <row r="418" spans="5:5" x14ac:dyDescent="0.2">
      <c r="E418" s="31"/>
    </row>
    <row r="419" spans="5:5" x14ac:dyDescent="0.2">
      <c r="E419" s="31"/>
    </row>
    <row r="420" spans="5:5" x14ac:dyDescent="0.2">
      <c r="E420" s="31"/>
    </row>
    <row r="421" spans="5:5" x14ac:dyDescent="0.2">
      <c r="E421" s="31"/>
    </row>
    <row r="422" spans="5:5" x14ac:dyDescent="0.2">
      <c r="E422" s="31"/>
    </row>
    <row r="423" spans="5:5" x14ac:dyDescent="0.2">
      <c r="E423" s="31"/>
    </row>
    <row r="424" spans="5:5" x14ac:dyDescent="0.2">
      <c r="E424" s="31"/>
    </row>
    <row r="425" spans="5:5" x14ac:dyDescent="0.2">
      <c r="E425" s="31"/>
    </row>
    <row r="426" spans="5:5" x14ac:dyDescent="0.2">
      <c r="E426" s="31"/>
    </row>
    <row r="427" spans="5:5" x14ac:dyDescent="0.2">
      <c r="E427" s="31"/>
    </row>
    <row r="428" spans="5:5" x14ac:dyDescent="0.2">
      <c r="E428" s="31"/>
    </row>
    <row r="429" spans="5:5" x14ac:dyDescent="0.2">
      <c r="E429" s="31"/>
    </row>
    <row r="430" spans="5:5" x14ac:dyDescent="0.2">
      <c r="E430" s="31"/>
    </row>
    <row r="431" spans="5:5" x14ac:dyDescent="0.2">
      <c r="E431" s="31"/>
    </row>
    <row r="432" spans="5:5" x14ac:dyDescent="0.2">
      <c r="E432" s="31"/>
    </row>
    <row r="433" spans="5:5" x14ac:dyDescent="0.2">
      <c r="E433" s="31"/>
    </row>
    <row r="434" spans="5:5" x14ac:dyDescent="0.2">
      <c r="E434" s="31"/>
    </row>
    <row r="435" spans="5:5" x14ac:dyDescent="0.2">
      <c r="E435" s="31"/>
    </row>
    <row r="436" spans="5:5" x14ac:dyDescent="0.2">
      <c r="E436" s="31"/>
    </row>
    <row r="437" spans="5:5" x14ac:dyDescent="0.2">
      <c r="E437" s="31"/>
    </row>
    <row r="438" spans="5:5" x14ac:dyDescent="0.2">
      <c r="E438" s="31"/>
    </row>
    <row r="439" spans="5:5" x14ac:dyDescent="0.2">
      <c r="E439" s="31"/>
    </row>
    <row r="440" spans="5:5" x14ac:dyDescent="0.2">
      <c r="E440" s="31"/>
    </row>
    <row r="441" spans="5:5" x14ac:dyDescent="0.2">
      <c r="E441" s="31"/>
    </row>
    <row r="442" spans="5:5" x14ac:dyDescent="0.2">
      <c r="E442" s="31"/>
    </row>
    <row r="443" spans="5:5" x14ac:dyDescent="0.2">
      <c r="E443" s="31"/>
    </row>
    <row r="444" spans="5:5" x14ac:dyDescent="0.2">
      <c r="E444" s="31"/>
    </row>
    <row r="445" spans="5:5" x14ac:dyDescent="0.2">
      <c r="E445" s="31"/>
    </row>
    <row r="446" spans="5:5" x14ac:dyDescent="0.2">
      <c r="E446" s="31"/>
    </row>
    <row r="447" spans="5:5" x14ac:dyDescent="0.2">
      <c r="E447" s="31"/>
    </row>
    <row r="448" spans="5:5" x14ac:dyDescent="0.2">
      <c r="E448" s="31"/>
    </row>
    <row r="449" spans="5:5" x14ac:dyDescent="0.2">
      <c r="E449" s="31"/>
    </row>
    <row r="450" spans="5:5" x14ac:dyDescent="0.2">
      <c r="E450" s="31"/>
    </row>
    <row r="451" spans="5:5" x14ac:dyDescent="0.2">
      <c r="E451" s="31"/>
    </row>
    <row r="452" spans="5:5" x14ac:dyDescent="0.2">
      <c r="E452" s="31"/>
    </row>
    <row r="453" spans="5:5" x14ac:dyDescent="0.2">
      <c r="E453" s="31"/>
    </row>
    <row r="454" spans="5:5" x14ac:dyDescent="0.2">
      <c r="E454" s="31"/>
    </row>
    <row r="455" spans="5:5" x14ac:dyDescent="0.2">
      <c r="E455" s="31"/>
    </row>
    <row r="456" spans="5:5" x14ac:dyDescent="0.2">
      <c r="E456" s="31"/>
    </row>
    <row r="457" spans="5:5" x14ac:dyDescent="0.2">
      <c r="E457" s="31"/>
    </row>
    <row r="458" spans="5:5" x14ac:dyDescent="0.2">
      <c r="E458" s="31"/>
    </row>
    <row r="459" spans="5:5" x14ac:dyDescent="0.2">
      <c r="E459" s="31"/>
    </row>
    <row r="460" spans="5:5" x14ac:dyDescent="0.2">
      <c r="E460" s="31"/>
    </row>
    <row r="461" spans="5:5" x14ac:dyDescent="0.2">
      <c r="E461" s="31"/>
    </row>
    <row r="462" spans="5:5" x14ac:dyDescent="0.2">
      <c r="E462" s="31"/>
    </row>
    <row r="463" spans="5:5" x14ac:dyDescent="0.2">
      <c r="E463" s="31"/>
    </row>
    <row r="464" spans="5:5" x14ac:dyDescent="0.2">
      <c r="E464" s="31"/>
    </row>
    <row r="465" spans="5:5" x14ac:dyDescent="0.2">
      <c r="E465" s="31"/>
    </row>
    <row r="466" spans="5:5" x14ac:dyDescent="0.2">
      <c r="E466" s="31"/>
    </row>
    <row r="467" spans="5:5" x14ac:dyDescent="0.2">
      <c r="E467" s="31"/>
    </row>
    <row r="468" spans="5:5" x14ac:dyDescent="0.2">
      <c r="E468" s="31"/>
    </row>
    <row r="469" spans="5:5" x14ac:dyDescent="0.2">
      <c r="E469" s="31"/>
    </row>
    <row r="470" spans="5:5" x14ac:dyDescent="0.2">
      <c r="E470" s="31"/>
    </row>
    <row r="471" spans="5:5" x14ac:dyDescent="0.2">
      <c r="E471" s="31"/>
    </row>
    <row r="472" spans="5:5" x14ac:dyDescent="0.2">
      <c r="E472" s="31"/>
    </row>
    <row r="473" spans="5:5" x14ac:dyDescent="0.2">
      <c r="E473" s="31"/>
    </row>
    <row r="474" spans="5:5" x14ac:dyDescent="0.2">
      <c r="E474" s="31"/>
    </row>
    <row r="475" spans="5:5" x14ac:dyDescent="0.2">
      <c r="E475" s="31"/>
    </row>
    <row r="476" spans="5:5" x14ac:dyDescent="0.2">
      <c r="E476" s="31"/>
    </row>
    <row r="477" spans="5:5" x14ac:dyDescent="0.2">
      <c r="E477" s="31"/>
    </row>
    <row r="478" spans="5:5" x14ac:dyDescent="0.2">
      <c r="E478" s="31"/>
    </row>
    <row r="479" spans="5:5" x14ac:dyDescent="0.2">
      <c r="E479" s="31"/>
    </row>
    <row r="480" spans="5:5" x14ac:dyDescent="0.2">
      <c r="E480" s="31"/>
    </row>
    <row r="481" spans="5:5" x14ac:dyDescent="0.2">
      <c r="E481" s="31"/>
    </row>
    <row r="482" spans="5:5" x14ac:dyDescent="0.2">
      <c r="E482" s="31"/>
    </row>
    <row r="483" spans="5:5" x14ac:dyDescent="0.2">
      <c r="E483" s="31"/>
    </row>
    <row r="484" spans="5:5" x14ac:dyDescent="0.2">
      <c r="E484" s="31"/>
    </row>
    <row r="485" spans="5:5" x14ac:dyDescent="0.2">
      <c r="E485" s="31"/>
    </row>
    <row r="486" spans="5:5" x14ac:dyDescent="0.2">
      <c r="E486" s="31"/>
    </row>
    <row r="487" spans="5:5" x14ac:dyDescent="0.2">
      <c r="E487" s="31"/>
    </row>
    <row r="488" spans="5:5" x14ac:dyDescent="0.2">
      <c r="E488" s="31"/>
    </row>
    <row r="489" spans="5:5" x14ac:dyDescent="0.2">
      <c r="E489" s="31"/>
    </row>
    <row r="490" spans="5:5" x14ac:dyDescent="0.2">
      <c r="E490" s="31"/>
    </row>
    <row r="491" spans="5:5" x14ac:dyDescent="0.2">
      <c r="E491" s="31"/>
    </row>
    <row r="492" spans="5:5" x14ac:dyDescent="0.2">
      <c r="E492" s="31"/>
    </row>
    <row r="493" spans="5:5" x14ac:dyDescent="0.2">
      <c r="E493" s="31"/>
    </row>
    <row r="494" spans="5:5" x14ac:dyDescent="0.2">
      <c r="E494" s="31"/>
    </row>
    <row r="495" spans="5:5" x14ac:dyDescent="0.2">
      <c r="E495" s="31"/>
    </row>
    <row r="496" spans="5:5" x14ac:dyDescent="0.2">
      <c r="E496" s="31"/>
    </row>
    <row r="497" spans="5:5" x14ac:dyDescent="0.2">
      <c r="E497" s="31"/>
    </row>
    <row r="498" spans="5:5" x14ac:dyDescent="0.2">
      <c r="E498" s="31"/>
    </row>
    <row r="499" spans="5:5" x14ac:dyDescent="0.2">
      <c r="E499" s="31"/>
    </row>
    <row r="500" spans="5:5" x14ac:dyDescent="0.2">
      <c r="E500" s="31"/>
    </row>
    <row r="501" spans="5:5" x14ac:dyDescent="0.2">
      <c r="E501" s="31"/>
    </row>
    <row r="502" spans="5:5" x14ac:dyDescent="0.2">
      <c r="E502" s="31"/>
    </row>
    <row r="503" spans="5:5" x14ac:dyDescent="0.2">
      <c r="E503" s="31"/>
    </row>
    <row r="504" spans="5:5" x14ac:dyDescent="0.2">
      <c r="E504" s="31"/>
    </row>
    <row r="505" spans="5:5" x14ac:dyDescent="0.2">
      <c r="E505" s="31"/>
    </row>
    <row r="506" spans="5:5" x14ac:dyDescent="0.2">
      <c r="E506" s="31"/>
    </row>
    <row r="507" spans="5:5" x14ac:dyDescent="0.2">
      <c r="E507" s="31"/>
    </row>
    <row r="508" spans="5:5" x14ac:dyDescent="0.2">
      <c r="E508" s="31"/>
    </row>
    <row r="509" spans="5:5" x14ac:dyDescent="0.2">
      <c r="E509" s="31"/>
    </row>
    <row r="510" spans="5:5" x14ac:dyDescent="0.2">
      <c r="E510" s="31"/>
    </row>
    <row r="511" spans="5:5" x14ac:dyDescent="0.2">
      <c r="E511" s="31"/>
    </row>
    <row r="512" spans="5:5" x14ac:dyDescent="0.2">
      <c r="E512" s="31"/>
    </row>
    <row r="513" spans="5:5" x14ac:dyDescent="0.2">
      <c r="E513" s="31"/>
    </row>
    <row r="514" spans="5:5" x14ac:dyDescent="0.2">
      <c r="E514" s="31"/>
    </row>
    <row r="515" spans="5:5" x14ac:dyDescent="0.2">
      <c r="E515" s="31"/>
    </row>
    <row r="516" spans="5:5" x14ac:dyDescent="0.2">
      <c r="E516" s="31"/>
    </row>
    <row r="517" spans="5:5" x14ac:dyDescent="0.2">
      <c r="E517" s="31"/>
    </row>
    <row r="518" spans="5:5" x14ac:dyDescent="0.2">
      <c r="E518" s="31"/>
    </row>
    <row r="519" spans="5:5" x14ac:dyDescent="0.2">
      <c r="E519" s="31"/>
    </row>
    <row r="520" spans="5:5" x14ac:dyDescent="0.2">
      <c r="E520" s="31"/>
    </row>
    <row r="521" spans="5:5" x14ac:dyDescent="0.2">
      <c r="E521" s="31"/>
    </row>
    <row r="522" spans="5:5" x14ac:dyDescent="0.2">
      <c r="E522" s="31"/>
    </row>
    <row r="523" spans="5:5" x14ac:dyDescent="0.2">
      <c r="E523" s="31"/>
    </row>
    <row r="524" spans="5:5" x14ac:dyDescent="0.2">
      <c r="E524" s="31"/>
    </row>
    <row r="525" spans="5:5" x14ac:dyDescent="0.2">
      <c r="E525" s="31"/>
    </row>
    <row r="526" spans="5:5" x14ac:dyDescent="0.2">
      <c r="E526" s="31"/>
    </row>
    <row r="527" spans="5:5" x14ac:dyDescent="0.2">
      <c r="E527" s="31"/>
    </row>
    <row r="528" spans="5:5" x14ac:dyDescent="0.2">
      <c r="E528" s="31"/>
    </row>
    <row r="529" spans="5:5" x14ac:dyDescent="0.2">
      <c r="E529" s="31"/>
    </row>
    <row r="530" spans="5:5" x14ac:dyDescent="0.2">
      <c r="E530" s="31"/>
    </row>
    <row r="531" spans="5:5" x14ac:dyDescent="0.2">
      <c r="E531" s="31"/>
    </row>
    <row r="532" spans="5:5" x14ac:dyDescent="0.2">
      <c r="E532" s="31"/>
    </row>
    <row r="533" spans="5:5" x14ac:dyDescent="0.2">
      <c r="E533" s="31"/>
    </row>
    <row r="534" spans="5:5" x14ac:dyDescent="0.2">
      <c r="E534" s="31"/>
    </row>
    <row r="535" spans="5:5" x14ac:dyDescent="0.2">
      <c r="E535" s="31"/>
    </row>
    <row r="536" spans="5:5" x14ac:dyDescent="0.2">
      <c r="E536" s="31"/>
    </row>
    <row r="537" spans="5:5" x14ac:dyDescent="0.2">
      <c r="E537" s="31"/>
    </row>
    <row r="538" spans="5:5" x14ac:dyDescent="0.2">
      <c r="E538" s="31"/>
    </row>
    <row r="539" spans="5:5" x14ac:dyDescent="0.2">
      <c r="E539" s="31"/>
    </row>
    <row r="540" spans="5:5" x14ac:dyDescent="0.2">
      <c r="E540" s="31"/>
    </row>
    <row r="541" spans="5:5" x14ac:dyDescent="0.2">
      <c r="E541" s="31"/>
    </row>
    <row r="542" spans="5:5" x14ac:dyDescent="0.2">
      <c r="E542" s="31"/>
    </row>
    <row r="543" spans="5:5" x14ac:dyDescent="0.2">
      <c r="E543" s="31"/>
    </row>
    <row r="544" spans="5:5" x14ac:dyDescent="0.2">
      <c r="E544" s="31"/>
    </row>
    <row r="545" spans="5:5" x14ac:dyDescent="0.2">
      <c r="E545" s="31"/>
    </row>
    <row r="546" spans="5:5" x14ac:dyDescent="0.2">
      <c r="E546" s="31"/>
    </row>
    <row r="547" spans="5:5" x14ac:dyDescent="0.2">
      <c r="E547" s="31"/>
    </row>
    <row r="548" spans="5:5" x14ac:dyDescent="0.2">
      <c r="E548" s="31"/>
    </row>
    <row r="549" spans="5:5" x14ac:dyDescent="0.2">
      <c r="E549" s="31"/>
    </row>
    <row r="550" spans="5:5" x14ac:dyDescent="0.2">
      <c r="E550" s="31"/>
    </row>
    <row r="551" spans="5:5" x14ac:dyDescent="0.2">
      <c r="E551" s="31"/>
    </row>
    <row r="552" spans="5:5" x14ac:dyDescent="0.2">
      <c r="E552" s="31"/>
    </row>
    <row r="553" spans="5:5" x14ac:dyDescent="0.2">
      <c r="E553" s="31"/>
    </row>
    <row r="554" spans="5:5" x14ac:dyDescent="0.2">
      <c r="E554" s="31"/>
    </row>
    <row r="555" spans="5:5" x14ac:dyDescent="0.2">
      <c r="E555" s="31"/>
    </row>
    <row r="556" spans="5:5" x14ac:dyDescent="0.2">
      <c r="E556" s="31"/>
    </row>
    <row r="557" spans="5:5" x14ac:dyDescent="0.2">
      <c r="E557" s="31"/>
    </row>
    <row r="558" spans="5:5" x14ac:dyDescent="0.2">
      <c r="E558" s="31"/>
    </row>
    <row r="559" spans="5:5" x14ac:dyDescent="0.2">
      <c r="E559" s="31"/>
    </row>
    <row r="560" spans="5:5" x14ac:dyDescent="0.2">
      <c r="E560" s="31"/>
    </row>
    <row r="561" spans="5:5" x14ac:dyDescent="0.2">
      <c r="E561" s="31"/>
    </row>
    <row r="562" spans="5:5" x14ac:dyDescent="0.2">
      <c r="E562" s="31"/>
    </row>
    <row r="563" spans="5:5" x14ac:dyDescent="0.2">
      <c r="E563" s="31"/>
    </row>
    <row r="564" spans="5:5" x14ac:dyDescent="0.2">
      <c r="E564" s="31"/>
    </row>
    <row r="565" spans="5:5" x14ac:dyDescent="0.2">
      <c r="E565" s="31"/>
    </row>
    <row r="566" spans="5:5" x14ac:dyDescent="0.2">
      <c r="E566" s="31"/>
    </row>
    <row r="567" spans="5:5" x14ac:dyDescent="0.2">
      <c r="E567" s="31"/>
    </row>
    <row r="568" spans="5:5" x14ac:dyDescent="0.2">
      <c r="E568" s="31"/>
    </row>
    <row r="569" spans="5:5" x14ac:dyDescent="0.2">
      <c r="E569" s="31"/>
    </row>
    <row r="570" spans="5:5" x14ac:dyDescent="0.2">
      <c r="E570" s="31"/>
    </row>
    <row r="571" spans="5:5" x14ac:dyDescent="0.2">
      <c r="E571" s="31"/>
    </row>
    <row r="572" spans="5:5" x14ac:dyDescent="0.2">
      <c r="E572" s="31"/>
    </row>
    <row r="573" spans="5:5" x14ac:dyDescent="0.2">
      <c r="E573" s="31"/>
    </row>
    <row r="574" spans="5:5" x14ac:dyDescent="0.2">
      <c r="E574" s="31"/>
    </row>
    <row r="575" spans="5:5" x14ac:dyDescent="0.2">
      <c r="E575" s="31"/>
    </row>
    <row r="576" spans="5:5" x14ac:dyDescent="0.2">
      <c r="E576" s="31"/>
    </row>
    <row r="577" spans="5:5" x14ac:dyDescent="0.2">
      <c r="E577" s="31"/>
    </row>
    <row r="578" spans="5:5" x14ac:dyDescent="0.2">
      <c r="E578" s="31"/>
    </row>
    <row r="579" spans="5:5" x14ac:dyDescent="0.2">
      <c r="E579" s="31"/>
    </row>
    <row r="580" spans="5:5" x14ac:dyDescent="0.2">
      <c r="E580" s="31"/>
    </row>
    <row r="581" spans="5:5" x14ac:dyDescent="0.2">
      <c r="E581" s="31"/>
    </row>
    <row r="582" spans="5:5" x14ac:dyDescent="0.2">
      <c r="E582" s="31"/>
    </row>
    <row r="583" spans="5:5" x14ac:dyDescent="0.2">
      <c r="E583" s="31"/>
    </row>
    <row r="584" spans="5:5" x14ac:dyDescent="0.2">
      <c r="E584" s="31"/>
    </row>
    <row r="585" spans="5:5" x14ac:dyDescent="0.2">
      <c r="E585" s="31"/>
    </row>
    <row r="586" spans="5:5" x14ac:dyDescent="0.2">
      <c r="E586" s="31"/>
    </row>
    <row r="587" spans="5:5" x14ac:dyDescent="0.2">
      <c r="E587" s="31"/>
    </row>
    <row r="588" spans="5:5" x14ac:dyDescent="0.2">
      <c r="E588" s="31"/>
    </row>
    <row r="589" spans="5:5" x14ac:dyDescent="0.2">
      <c r="E589" s="31"/>
    </row>
    <row r="590" spans="5:5" x14ac:dyDescent="0.2">
      <c r="E590" s="31"/>
    </row>
    <row r="591" spans="5:5" x14ac:dyDescent="0.2">
      <c r="E591" s="31"/>
    </row>
    <row r="592" spans="5:5" x14ac:dyDescent="0.2">
      <c r="E592" s="31"/>
    </row>
    <row r="593" spans="5:5" x14ac:dyDescent="0.2">
      <c r="E593" s="31"/>
    </row>
    <row r="594" spans="5:5" x14ac:dyDescent="0.2">
      <c r="E594" s="31"/>
    </row>
    <row r="595" spans="5:5" x14ac:dyDescent="0.2">
      <c r="E595" s="31"/>
    </row>
    <row r="596" spans="5:5" x14ac:dyDescent="0.2">
      <c r="E596" s="31"/>
    </row>
    <row r="597" spans="5:5" x14ac:dyDescent="0.2">
      <c r="E597" s="31"/>
    </row>
    <row r="598" spans="5:5" x14ac:dyDescent="0.2">
      <c r="E598" s="31"/>
    </row>
    <row r="599" spans="5:5" x14ac:dyDescent="0.2">
      <c r="E599" s="31"/>
    </row>
    <row r="600" spans="5:5" x14ac:dyDescent="0.2">
      <c r="E600" s="31"/>
    </row>
    <row r="601" spans="5:5" x14ac:dyDescent="0.2">
      <c r="E601" s="31"/>
    </row>
    <row r="602" spans="5:5" x14ac:dyDescent="0.2">
      <c r="E602" s="31"/>
    </row>
    <row r="603" spans="5:5" x14ac:dyDescent="0.2">
      <c r="E603" s="31"/>
    </row>
    <row r="604" spans="5:5" x14ac:dyDescent="0.2">
      <c r="E604" s="31"/>
    </row>
    <row r="605" spans="5:5" x14ac:dyDescent="0.2">
      <c r="E605" s="31"/>
    </row>
    <row r="606" spans="5:5" x14ac:dyDescent="0.2">
      <c r="E606" s="31"/>
    </row>
    <row r="607" spans="5:5" x14ac:dyDescent="0.2">
      <c r="E607" s="31"/>
    </row>
    <row r="608" spans="5:5" x14ac:dyDescent="0.2">
      <c r="E608" s="31"/>
    </row>
    <row r="609" spans="5:5" x14ac:dyDescent="0.2">
      <c r="E609" s="31"/>
    </row>
    <row r="610" spans="5:5" x14ac:dyDescent="0.2">
      <c r="E610" s="31"/>
    </row>
    <row r="611" spans="5:5" x14ac:dyDescent="0.2">
      <c r="E611" s="31"/>
    </row>
    <row r="612" spans="5:5" x14ac:dyDescent="0.2">
      <c r="E612" s="31"/>
    </row>
    <row r="613" spans="5:5" x14ac:dyDescent="0.2">
      <c r="E613" s="31"/>
    </row>
    <row r="614" spans="5:5" x14ac:dyDescent="0.2">
      <c r="E614" s="31"/>
    </row>
    <row r="615" spans="5:5" x14ac:dyDescent="0.2">
      <c r="E615" s="31"/>
    </row>
    <row r="616" spans="5:5" x14ac:dyDescent="0.2">
      <c r="E616" s="31"/>
    </row>
    <row r="617" spans="5:5" x14ac:dyDescent="0.2">
      <c r="E617" s="31"/>
    </row>
    <row r="618" spans="5:5" x14ac:dyDescent="0.2">
      <c r="E618" s="31"/>
    </row>
    <row r="619" spans="5:5" x14ac:dyDescent="0.2">
      <c r="E619" s="31"/>
    </row>
    <row r="620" spans="5:5" x14ac:dyDescent="0.2">
      <c r="E620" s="31"/>
    </row>
    <row r="621" spans="5:5" x14ac:dyDescent="0.2">
      <c r="E621" s="31"/>
    </row>
    <row r="622" spans="5:5" x14ac:dyDescent="0.2">
      <c r="E622" s="31"/>
    </row>
    <row r="623" spans="5:5" x14ac:dyDescent="0.2">
      <c r="E623" s="31"/>
    </row>
    <row r="624" spans="5:5" x14ac:dyDescent="0.2">
      <c r="E624" s="31"/>
    </row>
    <row r="625" spans="5:5" x14ac:dyDescent="0.2">
      <c r="E625" s="31"/>
    </row>
    <row r="626" spans="5:5" x14ac:dyDescent="0.2">
      <c r="E626" s="31"/>
    </row>
    <row r="627" spans="5:5" x14ac:dyDescent="0.2">
      <c r="E627" s="31"/>
    </row>
    <row r="628" spans="5:5" x14ac:dyDescent="0.2">
      <c r="E628" s="31"/>
    </row>
    <row r="629" spans="5:5" x14ac:dyDescent="0.2">
      <c r="E629" s="31"/>
    </row>
    <row r="630" spans="5:5" x14ac:dyDescent="0.2">
      <c r="E630" s="31"/>
    </row>
    <row r="631" spans="5:5" x14ac:dyDescent="0.2">
      <c r="E631" s="31"/>
    </row>
    <row r="632" spans="5:5" x14ac:dyDescent="0.2">
      <c r="E632" s="31"/>
    </row>
    <row r="633" spans="5:5" x14ac:dyDescent="0.2">
      <c r="E633" s="31"/>
    </row>
    <row r="634" spans="5:5" x14ac:dyDescent="0.2">
      <c r="E634" s="31"/>
    </row>
    <row r="635" spans="5:5" x14ac:dyDescent="0.2">
      <c r="E635" s="31"/>
    </row>
    <row r="636" spans="5:5" x14ac:dyDescent="0.2">
      <c r="E636" s="31"/>
    </row>
    <row r="637" spans="5:5" x14ac:dyDescent="0.2">
      <c r="E637" s="31"/>
    </row>
    <row r="638" spans="5:5" x14ac:dyDescent="0.2">
      <c r="E638" s="31"/>
    </row>
    <row r="639" spans="5:5" x14ac:dyDescent="0.2">
      <c r="E639" s="31"/>
    </row>
    <row r="640" spans="5:5" x14ac:dyDescent="0.2">
      <c r="E640" s="31"/>
    </row>
    <row r="641" spans="5:5" x14ac:dyDescent="0.2">
      <c r="E641" s="31"/>
    </row>
    <row r="642" spans="5:5" x14ac:dyDescent="0.2">
      <c r="E642" s="31"/>
    </row>
    <row r="643" spans="5:5" x14ac:dyDescent="0.2">
      <c r="E643" s="31"/>
    </row>
    <row r="644" spans="5:5" x14ac:dyDescent="0.2">
      <c r="E644" s="31"/>
    </row>
    <row r="645" spans="5:5" x14ac:dyDescent="0.2">
      <c r="E645" s="31"/>
    </row>
    <row r="646" spans="5:5" x14ac:dyDescent="0.2">
      <c r="E646" s="31"/>
    </row>
    <row r="647" spans="5:5" x14ac:dyDescent="0.2">
      <c r="E647" s="31"/>
    </row>
    <row r="648" spans="5:5" x14ac:dyDescent="0.2">
      <c r="E648" s="31"/>
    </row>
    <row r="649" spans="5:5" x14ac:dyDescent="0.2">
      <c r="E649" s="31"/>
    </row>
    <row r="650" spans="5:5" x14ac:dyDescent="0.2">
      <c r="E650" s="31"/>
    </row>
    <row r="651" spans="5:5" x14ac:dyDescent="0.2">
      <c r="E651" s="31"/>
    </row>
    <row r="652" spans="5:5" x14ac:dyDescent="0.2">
      <c r="E652" s="31"/>
    </row>
    <row r="653" spans="5:5" x14ac:dyDescent="0.2">
      <c r="E653" s="31"/>
    </row>
    <row r="654" spans="5:5" x14ac:dyDescent="0.2">
      <c r="E654" s="31"/>
    </row>
    <row r="655" spans="5:5" x14ac:dyDescent="0.2">
      <c r="E655" s="31"/>
    </row>
    <row r="656" spans="5:5" x14ac:dyDescent="0.2">
      <c r="E656" s="31"/>
    </row>
    <row r="657" spans="5:5" x14ac:dyDescent="0.2">
      <c r="E657" s="31"/>
    </row>
    <row r="658" spans="5:5" x14ac:dyDescent="0.2">
      <c r="E658" s="31"/>
    </row>
    <row r="659" spans="5:5" x14ac:dyDescent="0.2">
      <c r="E659" s="31"/>
    </row>
    <row r="660" spans="5:5" x14ac:dyDescent="0.2">
      <c r="E660" s="31"/>
    </row>
    <row r="661" spans="5:5" x14ac:dyDescent="0.2">
      <c r="E661" s="31"/>
    </row>
    <row r="662" spans="5:5" x14ac:dyDescent="0.2">
      <c r="E662" s="31"/>
    </row>
    <row r="663" spans="5:5" x14ac:dyDescent="0.2">
      <c r="E663" s="31"/>
    </row>
    <row r="664" spans="5:5" x14ac:dyDescent="0.2">
      <c r="E664" s="31"/>
    </row>
    <row r="665" spans="5:5" x14ac:dyDescent="0.2">
      <c r="E665" s="31"/>
    </row>
    <row r="666" spans="5:5" x14ac:dyDescent="0.2">
      <c r="E666" s="31"/>
    </row>
    <row r="667" spans="5:5" x14ac:dyDescent="0.2">
      <c r="E667" s="31"/>
    </row>
    <row r="668" spans="5:5" x14ac:dyDescent="0.2">
      <c r="E668" s="31"/>
    </row>
    <row r="669" spans="5:5" x14ac:dyDescent="0.2">
      <c r="E669" s="31"/>
    </row>
    <row r="670" spans="5:5" x14ac:dyDescent="0.2">
      <c r="E670" s="31"/>
    </row>
    <row r="671" spans="5:5" x14ac:dyDescent="0.2">
      <c r="E671" s="31"/>
    </row>
    <row r="672" spans="5:5" x14ac:dyDescent="0.2">
      <c r="E672" s="31"/>
    </row>
    <row r="673" spans="5:5" x14ac:dyDescent="0.2">
      <c r="E673" s="31"/>
    </row>
    <row r="674" spans="5:5" x14ac:dyDescent="0.2">
      <c r="E674" s="31"/>
    </row>
    <row r="675" spans="5:5" x14ac:dyDescent="0.2">
      <c r="E675" s="31"/>
    </row>
    <row r="676" spans="5:5" x14ac:dyDescent="0.2">
      <c r="E676" s="31"/>
    </row>
    <row r="677" spans="5:5" x14ac:dyDescent="0.2">
      <c r="E677" s="31"/>
    </row>
    <row r="678" spans="5:5" x14ac:dyDescent="0.2">
      <c r="E678" s="31"/>
    </row>
    <row r="679" spans="5:5" x14ac:dyDescent="0.2">
      <c r="E679" s="31"/>
    </row>
    <row r="680" spans="5:5" x14ac:dyDescent="0.2">
      <c r="E680" s="31"/>
    </row>
    <row r="681" spans="5:5" x14ac:dyDescent="0.2">
      <c r="E681" s="31"/>
    </row>
    <row r="682" spans="5:5" x14ac:dyDescent="0.2">
      <c r="E682" s="31"/>
    </row>
    <row r="683" spans="5:5" x14ac:dyDescent="0.2">
      <c r="E683" s="31"/>
    </row>
    <row r="684" spans="5:5" x14ac:dyDescent="0.2">
      <c r="E684" s="31"/>
    </row>
    <row r="685" spans="5:5" x14ac:dyDescent="0.2">
      <c r="E685" s="31"/>
    </row>
    <row r="686" spans="5:5" x14ac:dyDescent="0.2">
      <c r="E686" s="31"/>
    </row>
    <row r="687" spans="5:5" x14ac:dyDescent="0.2">
      <c r="E687" s="31"/>
    </row>
    <row r="688" spans="5:5" x14ac:dyDescent="0.2">
      <c r="E688" s="31"/>
    </row>
    <row r="689" spans="5:5" x14ac:dyDescent="0.2">
      <c r="E689" s="31"/>
    </row>
    <row r="690" spans="5:5" x14ac:dyDescent="0.2">
      <c r="E690" s="31"/>
    </row>
    <row r="691" spans="5:5" x14ac:dyDescent="0.2">
      <c r="E691" s="31"/>
    </row>
    <row r="692" spans="5:5" x14ac:dyDescent="0.2">
      <c r="E692" s="31"/>
    </row>
    <row r="693" spans="5:5" x14ac:dyDescent="0.2">
      <c r="E693" s="31"/>
    </row>
    <row r="694" spans="5:5" x14ac:dyDescent="0.2">
      <c r="E694" s="31"/>
    </row>
    <row r="695" spans="5:5" x14ac:dyDescent="0.2">
      <c r="E695" s="31"/>
    </row>
    <row r="696" spans="5:5" x14ac:dyDescent="0.2">
      <c r="E696" s="31"/>
    </row>
    <row r="697" spans="5:5" x14ac:dyDescent="0.2">
      <c r="E697" s="31"/>
    </row>
    <row r="698" spans="5:5" x14ac:dyDescent="0.2">
      <c r="E698" s="31"/>
    </row>
    <row r="699" spans="5:5" x14ac:dyDescent="0.2">
      <c r="E699" s="31"/>
    </row>
    <row r="700" spans="5:5" x14ac:dyDescent="0.2">
      <c r="E700" s="31"/>
    </row>
    <row r="701" spans="5:5" x14ac:dyDescent="0.2">
      <c r="E701" s="31"/>
    </row>
    <row r="702" spans="5:5" x14ac:dyDescent="0.2">
      <c r="E702" s="31"/>
    </row>
    <row r="703" spans="5:5" x14ac:dyDescent="0.2">
      <c r="E703" s="31"/>
    </row>
    <row r="704" spans="5:5" x14ac:dyDescent="0.2">
      <c r="E704" s="31"/>
    </row>
    <row r="705" spans="5:5" x14ac:dyDescent="0.2">
      <c r="E705" s="31"/>
    </row>
    <row r="706" spans="5:5" x14ac:dyDescent="0.2">
      <c r="E706" s="31"/>
    </row>
    <row r="707" spans="5:5" x14ac:dyDescent="0.2">
      <c r="E707" s="31"/>
    </row>
    <row r="708" spans="5:5" x14ac:dyDescent="0.2">
      <c r="E708" s="31"/>
    </row>
    <row r="709" spans="5:5" x14ac:dyDescent="0.2">
      <c r="E709" s="31"/>
    </row>
    <row r="710" spans="5:5" x14ac:dyDescent="0.2">
      <c r="E710" s="31"/>
    </row>
    <row r="711" spans="5:5" x14ac:dyDescent="0.2">
      <c r="E711" s="31"/>
    </row>
    <row r="712" spans="5:5" x14ac:dyDescent="0.2">
      <c r="E712" s="31"/>
    </row>
    <row r="713" spans="5:5" x14ac:dyDescent="0.2">
      <c r="E713" s="31"/>
    </row>
    <row r="714" spans="5:5" x14ac:dyDescent="0.2">
      <c r="E714" s="31"/>
    </row>
    <row r="715" spans="5:5" x14ac:dyDescent="0.2">
      <c r="E715" s="31"/>
    </row>
    <row r="716" spans="5:5" x14ac:dyDescent="0.2">
      <c r="E716" s="31"/>
    </row>
    <row r="717" spans="5:5" x14ac:dyDescent="0.2">
      <c r="E717" s="31"/>
    </row>
    <row r="718" spans="5:5" x14ac:dyDescent="0.2">
      <c r="E718" s="31"/>
    </row>
    <row r="719" spans="5:5" x14ac:dyDescent="0.2">
      <c r="E719" s="31"/>
    </row>
    <row r="720" spans="5:5" x14ac:dyDescent="0.2">
      <c r="E720" s="31"/>
    </row>
    <row r="721" spans="5:5" x14ac:dyDescent="0.2">
      <c r="E721" s="31"/>
    </row>
    <row r="722" spans="5:5" x14ac:dyDescent="0.2">
      <c r="E722" s="31"/>
    </row>
    <row r="723" spans="5:5" x14ac:dyDescent="0.2">
      <c r="E723" s="31"/>
    </row>
    <row r="724" spans="5:5" x14ac:dyDescent="0.2">
      <c r="E724" s="31"/>
    </row>
    <row r="725" spans="5:5" x14ac:dyDescent="0.2">
      <c r="E725" s="31"/>
    </row>
    <row r="726" spans="5:5" x14ac:dyDescent="0.2">
      <c r="E726" s="31"/>
    </row>
    <row r="727" spans="5:5" x14ac:dyDescent="0.2">
      <c r="E727" s="31"/>
    </row>
    <row r="728" spans="5:5" x14ac:dyDescent="0.2">
      <c r="E728" s="31"/>
    </row>
    <row r="729" spans="5:5" x14ac:dyDescent="0.2">
      <c r="E729" s="31"/>
    </row>
    <row r="730" spans="5:5" x14ac:dyDescent="0.2">
      <c r="E730" s="31"/>
    </row>
    <row r="731" spans="5:5" x14ac:dyDescent="0.2">
      <c r="E731" s="31"/>
    </row>
    <row r="732" spans="5:5" x14ac:dyDescent="0.2">
      <c r="E732" s="31"/>
    </row>
    <row r="733" spans="5:5" x14ac:dyDescent="0.2">
      <c r="E733" s="31"/>
    </row>
    <row r="734" spans="5:5" x14ac:dyDescent="0.2">
      <c r="E734" s="31"/>
    </row>
    <row r="735" spans="5:5" x14ac:dyDescent="0.2">
      <c r="E735" s="31"/>
    </row>
    <row r="736" spans="5:5" x14ac:dyDescent="0.2">
      <c r="E736" s="31"/>
    </row>
    <row r="737" spans="5:5" x14ac:dyDescent="0.2">
      <c r="E737" s="31"/>
    </row>
    <row r="738" spans="5:5" x14ac:dyDescent="0.2">
      <c r="E738" s="31"/>
    </row>
    <row r="739" spans="5:5" x14ac:dyDescent="0.2">
      <c r="E739" s="31"/>
    </row>
    <row r="740" spans="5:5" x14ac:dyDescent="0.2">
      <c r="E740" s="31"/>
    </row>
    <row r="741" spans="5:5" x14ac:dyDescent="0.2">
      <c r="E741" s="31"/>
    </row>
    <row r="742" spans="5:5" x14ac:dyDescent="0.2">
      <c r="E742" s="31"/>
    </row>
    <row r="743" spans="5:5" x14ac:dyDescent="0.2">
      <c r="E743" s="31"/>
    </row>
    <row r="744" spans="5:5" x14ac:dyDescent="0.2">
      <c r="E744" s="31"/>
    </row>
    <row r="745" spans="5:5" x14ac:dyDescent="0.2">
      <c r="E745" s="31"/>
    </row>
    <row r="746" spans="5:5" x14ac:dyDescent="0.2">
      <c r="E746" s="31"/>
    </row>
    <row r="747" spans="5:5" x14ac:dyDescent="0.2">
      <c r="E747" s="31"/>
    </row>
    <row r="748" spans="5:5" x14ac:dyDescent="0.2">
      <c r="E748" s="31"/>
    </row>
    <row r="749" spans="5:5" x14ac:dyDescent="0.2">
      <c r="E749" s="31"/>
    </row>
    <row r="750" spans="5:5" x14ac:dyDescent="0.2">
      <c r="E750" s="31"/>
    </row>
    <row r="751" spans="5:5" x14ac:dyDescent="0.2">
      <c r="E751" s="31"/>
    </row>
    <row r="752" spans="5:5" x14ac:dyDescent="0.2">
      <c r="E752" s="31"/>
    </row>
    <row r="753" spans="5:5" x14ac:dyDescent="0.2">
      <c r="E753" s="31"/>
    </row>
    <row r="754" spans="5:5" x14ac:dyDescent="0.2">
      <c r="E754" s="31"/>
    </row>
    <row r="755" spans="5:5" x14ac:dyDescent="0.2">
      <c r="E755" s="31"/>
    </row>
    <row r="756" spans="5:5" x14ac:dyDescent="0.2">
      <c r="E756" s="31"/>
    </row>
    <row r="757" spans="5:5" x14ac:dyDescent="0.2">
      <c r="E757" s="31"/>
    </row>
    <row r="758" spans="5:5" x14ac:dyDescent="0.2">
      <c r="E758" s="31"/>
    </row>
    <row r="759" spans="5:5" x14ac:dyDescent="0.2">
      <c r="E759" s="31"/>
    </row>
    <row r="760" spans="5:5" x14ac:dyDescent="0.2">
      <c r="E760" s="31"/>
    </row>
    <row r="761" spans="5:5" x14ac:dyDescent="0.2">
      <c r="E761" s="31"/>
    </row>
    <row r="762" spans="5:5" x14ac:dyDescent="0.2">
      <c r="E762" s="31"/>
    </row>
    <row r="763" spans="5:5" x14ac:dyDescent="0.2">
      <c r="E763" s="31"/>
    </row>
    <row r="764" spans="5:5" x14ac:dyDescent="0.2">
      <c r="E764" s="31"/>
    </row>
    <row r="765" spans="5:5" x14ac:dyDescent="0.2">
      <c r="E765" s="31"/>
    </row>
    <row r="766" spans="5:5" x14ac:dyDescent="0.2">
      <c r="E766" s="31"/>
    </row>
    <row r="767" spans="5:5" x14ac:dyDescent="0.2">
      <c r="E767" s="31"/>
    </row>
    <row r="768" spans="5:5" x14ac:dyDescent="0.2">
      <c r="E768" s="31"/>
    </row>
    <row r="769" spans="5:5" x14ac:dyDescent="0.2">
      <c r="E769" s="31"/>
    </row>
    <row r="770" spans="5:5" x14ac:dyDescent="0.2">
      <c r="E770" s="31"/>
    </row>
    <row r="771" spans="5:5" x14ac:dyDescent="0.2">
      <c r="E771" s="31"/>
    </row>
    <row r="772" spans="5:5" x14ac:dyDescent="0.2">
      <c r="E772" s="31"/>
    </row>
    <row r="773" spans="5:5" x14ac:dyDescent="0.2">
      <c r="E773" s="31"/>
    </row>
    <row r="774" spans="5:5" x14ac:dyDescent="0.2">
      <c r="E774" s="31"/>
    </row>
    <row r="775" spans="5:5" x14ac:dyDescent="0.2">
      <c r="E775" s="31"/>
    </row>
    <row r="776" spans="5:5" x14ac:dyDescent="0.2">
      <c r="E776" s="31"/>
    </row>
    <row r="777" spans="5:5" x14ac:dyDescent="0.2">
      <c r="E777" s="31"/>
    </row>
    <row r="778" spans="5:5" x14ac:dyDescent="0.2">
      <c r="E778" s="31"/>
    </row>
    <row r="779" spans="5:5" x14ac:dyDescent="0.2">
      <c r="E779" s="31"/>
    </row>
    <row r="780" spans="5:5" x14ac:dyDescent="0.2">
      <c r="E780" s="31"/>
    </row>
    <row r="781" spans="5:5" x14ac:dyDescent="0.2">
      <c r="E781" s="31"/>
    </row>
    <row r="782" spans="5:5" x14ac:dyDescent="0.2">
      <c r="E782" s="31"/>
    </row>
    <row r="783" spans="5:5" x14ac:dyDescent="0.2">
      <c r="E783" s="31"/>
    </row>
    <row r="784" spans="5:5" x14ac:dyDescent="0.2">
      <c r="E784" s="31"/>
    </row>
    <row r="785" spans="5:5" x14ac:dyDescent="0.2">
      <c r="E785" s="31"/>
    </row>
    <row r="786" spans="5:5" x14ac:dyDescent="0.2">
      <c r="E786" s="31"/>
    </row>
    <row r="787" spans="5:5" x14ac:dyDescent="0.2">
      <c r="E787" s="31"/>
    </row>
    <row r="788" spans="5:5" x14ac:dyDescent="0.2">
      <c r="E788" s="31"/>
    </row>
    <row r="789" spans="5:5" x14ac:dyDescent="0.2">
      <c r="E789" s="31"/>
    </row>
    <row r="790" spans="5:5" x14ac:dyDescent="0.2">
      <c r="E790" s="31"/>
    </row>
    <row r="791" spans="5:5" x14ac:dyDescent="0.2">
      <c r="E791" s="31"/>
    </row>
    <row r="792" spans="5:5" x14ac:dyDescent="0.2">
      <c r="E792" s="31"/>
    </row>
    <row r="793" spans="5:5" x14ac:dyDescent="0.2">
      <c r="E793" s="31"/>
    </row>
    <row r="794" spans="5:5" x14ac:dyDescent="0.2">
      <c r="E794" s="31"/>
    </row>
    <row r="795" spans="5:5" x14ac:dyDescent="0.2">
      <c r="E795" s="31"/>
    </row>
    <row r="796" spans="5:5" x14ac:dyDescent="0.2">
      <c r="E796" s="31"/>
    </row>
    <row r="797" spans="5:5" x14ac:dyDescent="0.2">
      <c r="E797" s="31"/>
    </row>
    <row r="798" spans="5:5" x14ac:dyDescent="0.2">
      <c r="E798" s="31"/>
    </row>
    <row r="799" spans="5:5" x14ac:dyDescent="0.2">
      <c r="E799" s="31"/>
    </row>
    <row r="800" spans="5:5" x14ac:dyDescent="0.2">
      <c r="E800" s="31"/>
    </row>
    <row r="801" spans="5:5" x14ac:dyDescent="0.2">
      <c r="E801" s="31"/>
    </row>
    <row r="802" spans="5:5" x14ac:dyDescent="0.2">
      <c r="E802" s="31"/>
    </row>
    <row r="803" spans="5:5" x14ac:dyDescent="0.2">
      <c r="E803" s="31"/>
    </row>
    <row r="804" spans="5:5" x14ac:dyDescent="0.2">
      <c r="E804" s="31"/>
    </row>
    <row r="805" spans="5:5" x14ac:dyDescent="0.2">
      <c r="E805" s="31"/>
    </row>
    <row r="806" spans="5:5" x14ac:dyDescent="0.2">
      <c r="E806" s="31"/>
    </row>
    <row r="807" spans="5:5" x14ac:dyDescent="0.2">
      <c r="E807" s="31"/>
    </row>
    <row r="808" spans="5:5" x14ac:dyDescent="0.2">
      <c r="E808" s="31"/>
    </row>
    <row r="809" spans="5:5" x14ac:dyDescent="0.2">
      <c r="E809" s="31"/>
    </row>
    <row r="810" spans="5:5" x14ac:dyDescent="0.2">
      <c r="E810" s="31"/>
    </row>
    <row r="811" spans="5:5" x14ac:dyDescent="0.2">
      <c r="E811" s="31"/>
    </row>
    <row r="812" spans="5:5" x14ac:dyDescent="0.2">
      <c r="E812" s="31"/>
    </row>
    <row r="813" spans="5:5" x14ac:dyDescent="0.2">
      <c r="E813" s="31"/>
    </row>
    <row r="814" spans="5:5" x14ac:dyDescent="0.2">
      <c r="E814" s="31"/>
    </row>
    <row r="815" spans="5:5" x14ac:dyDescent="0.2">
      <c r="E815" s="31"/>
    </row>
    <row r="816" spans="5:5" x14ac:dyDescent="0.2">
      <c r="E816" s="31"/>
    </row>
    <row r="817" spans="5:5" x14ac:dyDescent="0.2">
      <c r="E817" s="31"/>
    </row>
    <row r="818" spans="5:5" x14ac:dyDescent="0.2">
      <c r="E818" s="31"/>
    </row>
    <row r="819" spans="5:5" x14ac:dyDescent="0.2">
      <c r="E819" s="31"/>
    </row>
    <row r="820" spans="5:5" x14ac:dyDescent="0.2">
      <c r="E820" s="31"/>
    </row>
    <row r="821" spans="5:5" x14ac:dyDescent="0.2">
      <c r="E821" s="31"/>
    </row>
    <row r="822" spans="5:5" x14ac:dyDescent="0.2">
      <c r="E822" s="31"/>
    </row>
    <row r="823" spans="5:5" x14ac:dyDescent="0.2">
      <c r="E823" s="31"/>
    </row>
    <row r="824" spans="5:5" x14ac:dyDescent="0.2">
      <c r="E824" s="31"/>
    </row>
    <row r="825" spans="5:5" x14ac:dyDescent="0.2">
      <c r="E825" s="31"/>
    </row>
    <row r="826" spans="5:5" x14ac:dyDescent="0.2">
      <c r="E826" s="31"/>
    </row>
    <row r="827" spans="5:5" x14ac:dyDescent="0.2">
      <c r="E827" s="31"/>
    </row>
    <row r="828" spans="5:5" x14ac:dyDescent="0.2">
      <c r="E828" s="31"/>
    </row>
    <row r="829" spans="5:5" x14ac:dyDescent="0.2">
      <c r="E829" s="31"/>
    </row>
    <row r="830" spans="5:5" x14ac:dyDescent="0.2">
      <c r="E830" s="31"/>
    </row>
    <row r="831" spans="5:5" x14ac:dyDescent="0.2">
      <c r="E831" s="31"/>
    </row>
    <row r="832" spans="5:5" x14ac:dyDescent="0.2">
      <c r="E832" s="31"/>
    </row>
    <row r="833" spans="5:5" x14ac:dyDescent="0.2">
      <c r="E833" s="31"/>
    </row>
    <row r="834" spans="5:5" x14ac:dyDescent="0.2">
      <c r="E834" s="31"/>
    </row>
    <row r="835" spans="5:5" x14ac:dyDescent="0.2">
      <c r="E835" s="31"/>
    </row>
    <row r="836" spans="5:5" x14ac:dyDescent="0.2">
      <c r="E836" s="31"/>
    </row>
    <row r="837" spans="5:5" x14ac:dyDescent="0.2">
      <c r="E837" s="31"/>
    </row>
    <row r="838" spans="5:5" x14ac:dyDescent="0.2">
      <c r="E838" s="31"/>
    </row>
    <row r="839" spans="5:5" x14ac:dyDescent="0.2">
      <c r="E839" s="31"/>
    </row>
    <row r="840" spans="5:5" x14ac:dyDescent="0.2">
      <c r="E840" s="31"/>
    </row>
    <row r="841" spans="5:5" x14ac:dyDescent="0.2">
      <c r="E841" s="31"/>
    </row>
    <row r="842" spans="5:5" x14ac:dyDescent="0.2">
      <c r="E842" s="31"/>
    </row>
    <row r="843" spans="5:5" x14ac:dyDescent="0.2">
      <c r="E843" s="31"/>
    </row>
    <row r="844" spans="5:5" x14ac:dyDescent="0.2">
      <c r="E844" s="31"/>
    </row>
    <row r="845" spans="5:5" x14ac:dyDescent="0.2">
      <c r="E845" s="31"/>
    </row>
    <row r="846" spans="5:5" x14ac:dyDescent="0.2">
      <c r="E846" s="31"/>
    </row>
    <row r="847" spans="5:5" x14ac:dyDescent="0.2">
      <c r="E847" s="31"/>
    </row>
    <row r="848" spans="5:5" x14ac:dyDescent="0.2">
      <c r="E848" s="31"/>
    </row>
    <row r="849" spans="5:5" x14ac:dyDescent="0.2">
      <c r="E849" s="31"/>
    </row>
    <row r="850" spans="5:5" x14ac:dyDescent="0.2">
      <c r="E850" s="31"/>
    </row>
    <row r="851" spans="5:5" x14ac:dyDescent="0.2">
      <c r="E851" s="31"/>
    </row>
    <row r="852" spans="5:5" x14ac:dyDescent="0.2">
      <c r="E852" s="31"/>
    </row>
    <row r="853" spans="5:5" x14ac:dyDescent="0.2">
      <c r="E853" s="31"/>
    </row>
    <row r="854" spans="5:5" x14ac:dyDescent="0.2">
      <c r="E854" s="31"/>
    </row>
    <row r="855" spans="5:5" x14ac:dyDescent="0.2">
      <c r="E855" s="31"/>
    </row>
    <row r="856" spans="5:5" x14ac:dyDescent="0.2">
      <c r="E856" s="31"/>
    </row>
    <row r="857" spans="5:5" x14ac:dyDescent="0.2">
      <c r="E857" s="31"/>
    </row>
    <row r="858" spans="5:5" x14ac:dyDescent="0.2">
      <c r="E858" s="31"/>
    </row>
    <row r="859" spans="5:5" x14ac:dyDescent="0.2">
      <c r="E859" s="31"/>
    </row>
    <row r="860" spans="5:5" x14ac:dyDescent="0.2">
      <c r="E860" s="31"/>
    </row>
    <row r="861" spans="5:5" x14ac:dyDescent="0.2">
      <c r="E861" s="31"/>
    </row>
    <row r="862" spans="5:5" x14ac:dyDescent="0.2">
      <c r="E862" s="31"/>
    </row>
    <row r="863" spans="5:5" x14ac:dyDescent="0.2">
      <c r="E863" s="31"/>
    </row>
    <row r="864" spans="5:5" x14ac:dyDescent="0.2">
      <c r="E864" s="31"/>
    </row>
    <row r="865" spans="5:5" x14ac:dyDescent="0.2">
      <c r="E865" s="31"/>
    </row>
    <row r="866" spans="5:5" x14ac:dyDescent="0.2">
      <c r="E866" s="31"/>
    </row>
    <row r="867" spans="5:5" x14ac:dyDescent="0.2">
      <c r="E867" s="31"/>
    </row>
    <row r="868" spans="5:5" x14ac:dyDescent="0.2">
      <c r="E868" s="31"/>
    </row>
    <row r="869" spans="5:5" x14ac:dyDescent="0.2">
      <c r="E869" s="31"/>
    </row>
    <row r="870" spans="5:5" x14ac:dyDescent="0.2">
      <c r="E870" s="31"/>
    </row>
    <row r="871" spans="5:5" x14ac:dyDescent="0.2">
      <c r="E871" s="31"/>
    </row>
    <row r="872" spans="5:5" x14ac:dyDescent="0.2">
      <c r="E872" s="31"/>
    </row>
    <row r="873" spans="5:5" x14ac:dyDescent="0.2">
      <c r="E873" s="31"/>
    </row>
    <row r="874" spans="5:5" x14ac:dyDescent="0.2">
      <c r="E874" s="31"/>
    </row>
    <row r="875" spans="5:5" x14ac:dyDescent="0.2">
      <c r="E875" s="31"/>
    </row>
    <row r="876" spans="5:5" x14ac:dyDescent="0.2">
      <c r="E876" s="31"/>
    </row>
    <row r="877" spans="5:5" x14ac:dyDescent="0.2">
      <c r="E877" s="31"/>
    </row>
    <row r="878" spans="5:5" x14ac:dyDescent="0.2">
      <c r="E878" s="31"/>
    </row>
    <row r="879" spans="5:5" x14ac:dyDescent="0.2">
      <c r="E879" s="31"/>
    </row>
    <row r="880" spans="5:5" x14ac:dyDescent="0.2">
      <c r="E880" s="31"/>
    </row>
    <row r="881" spans="5:5" x14ac:dyDescent="0.2">
      <c r="E881" s="31"/>
    </row>
    <row r="882" spans="5:5" x14ac:dyDescent="0.2">
      <c r="E882" s="31"/>
    </row>
    <row r="883" spans="5:5" x14ac:dyDescent="0.2">
      <c r="E883" s="31"/>
    </row>
    <row r="884" spans="5:5" x14ac:dyDescent="0.2">
      <c r="E884" s="31"/>
    </row>
    <row r="885" spans="5:5" x14ac:dyDescent="0.2">
      <c r="E885" s="31"/>
    </row>
    <row r="886" spans="5:5" x14ac:dyDescent="0.2">
      <c r="E886" s="31"/>
    </row>
    <row r="887" spans="5:5" x14ac:dyDescent="0.2">
      <c r="E887" s="31"/>
    </row>
    <row r="888" spans="5:5" x14ac:dyDescent="0.2">
      <c r="E888" s="31"/>
    </row>
    <row r="889" spans="5:5" x14ac:dyDescent="0.2">
      <c r="E889" s="31"/>
    </row>
    <row r="890" spans="5:5" x14ac:dyDescent="0.2">
      <c r="E890" s="31"/>
    </row>
    <row r="891" spans="5:5" x14ac:dyDescent="0.2">
      <c r="E891" s="31"/>
    </row>
    <row r="892" spans="5:5" x14ac:dyDescent="0.2">
      <c r="E892" s="31"/>
    </row>
    <row r="893" spans="5:5" x14ac:dyDescent="0.2">
      <c r="E893" s="31"/>
    </row>
    <row r="894" spans="5:5" x14ac:dyDescent="0.2">
      <c r="E894" s="31"/>
    </row>
    <row r="895" spans="5:5" x14ac:dyDescent="0.2">
      <c r="E895" s="31"/>
    </row>
    <row r="896" spans="5:5" x14ac:dyDescent="0.2">
      <c r="E896" s="31"/>
    </row>
    <row r="897" spans="5:5" x14ac:dyDescent="0.2">
      <c r="E897" s="31"/>
    </row>
    <row r="898" spans="5:5" x14ac:dyDescent="0.2">
      <c r="E898" s="31"/>
    </row>
    <row r="899" spans="5:5" x14ac:dyDescent="0.2">
      <c r="E899" s="31"/>
    </row>
    <row r="900" spans="5:5" x14ac:dyDescent="0.2">
      <c r="E900" s="31"/>
    </row>
    <row r="901" spans="5:5" x14ac:dyDescent="0.2">
      <c r="E901" s="31"/>
    </row>
    <row r="902" spans="5:5" x14ac:dyDescent="0.2">
      <c r="E902" s="31"/>
    </row>
    <row r="903" spans="5:5" x14ac:dyDescent="0.2">
      <c r="E903" s="31"/>
    </row>
    <row r="904" spans="5:5" x14ac:dyDescent="0.2">
      <c r="E904" s="31"/>
    </row>
    <row r="905" spans="5:5" x14ac:dyDescent="0.2">
      <c r="E905" s="31"/>
    </row>
    <row r="906" spans="5:5" x14ac:dyDescent="0.2">
      <c r="E906" s="31"/>
    </row>
    <row r="907" spans="5:5" x14ac:dyDescent="0.2">
      <c r="E907" s="31"/>
    </row>
    <row r="908" spans="5:5" x14ac:dyDescent="0.2">
      <c r="E908" s="31"/>
    </row>
    <row r="909" spans="5:5" x14ac:dyDescent="0.2">
      <c r="E909" s="31"/>
    </row>
    <row r="910" spans="5:5" x14ac:dyDescent="0.2">
      <c r="E910" s="31"/>
    </row>
    <row r="911" spans="5:5" x14ac:dyDescent="0.2">
      <c r="E911" s="31"/>
    </row>
    <row r="912" spans="5:5" x14ac:dyDescent="0.2">
      <c r="E912" s="31"/>
    </row>
    <row r="913" spans="5:5" x14ac:dyDescent="0.2">
      <c r="E913" s="31"/>
    </row>
    <row r="914" spans="5:5" x14ac:dyDescent="0.2">
      <c r="E914" s="31"/>
    </row>
    <row r="915" spans="5:5" x14ac:dyDescent="0.2">
      <c r="E915" s="31"/>
    </row>
    <row r="916" spans="5:5" x14ac:dyDescent="0.2">
      <c r="E916" s="31"/>
    </row>
    <row r="917" spans="5:5" x14ac:dyDescent="0.2">
      <c r="E917" s="31"/>
    </row>
    <row r="918" spans="5:5" x14ac:dyDescent="0.2">
      <c r="E918" s="31"/>
    </row>
    <row r="919" spans="5:5" x14ac:dyDescent="0.2">
      <c r="E919" s="31"/>
    </row>
    <row r="920" spans="5:5" x14ac:dyDescent="0.2">
      <c r="E920" s="31"/>
    </row>
    <row r="921" spans="5:5" x14ac:dyDescent="0.2">
      <c r="E921" s="31"/>
    </row>
    <row r="922" spans="5:5" x14ac:dyDescent="0.2">
      <c r="E922" s="31"/>
    </row>
    <row r="923" spans="5:5" x14ac:dyDescent="0.2">
      <c r="E923" s="31"/>
    </row>
    <row r="924" spans="5:5" x14ac:dyDescent="0.2">
      <c r="E924" s="31"/>
    </row>
    <row r="925" spans="5:5" x14ac:dyDescent="0.2">
      <c r="E925" s="31"/>
    </row>
    <row r="926" spans="5:5" x14ac:dyDescent="0.2">
      <c r="E926" s="31"/>
    </row>
    <row r="927" spans="5:5" x14ac:dyDescent="0.2">
      <c r="E927" s="31"/>
    </row>
    <row r="928" spans="5:5" x14ac:dyDescent="0.2">
      <c r="E928" s="31"/>
    </row>
    <row r="929" spans="5:5" x14ac:dyDescent="0.2">
      <c r="E929" s="31"/>
    </row>
    <row r="930" spans="5:5" x14ac:dyDescent="0.2">
      <c r="E930" s="31"/>
    </row>
    <row r="931" spans="5:5" x14ac:dyDescent="0.2">
      <c r="E931" s="31"/>
    </row>
    <row r="932" spans="5:5" x14ac:dyDescent="0.2">
      <c r="E932" s="31"/>
    </row>
    <row r="933" spans="5:5" x14ac:dyDescent="0.2">
      <c r="E933" s="31"/>
    </row>
    <row r="934" spans="5:5" x14ac:dyDescent="0.2">
      <c r="E934" s="31"/>
    </row>
    <row r="935" spans="5:5" x14ac:dyDescent="0.2">
      <c r="E935" s="31"/>
    </row>
    <row r="936" spans="5:5" x14ac:dyDescent="0.2">
      <c r="E936" s="31"/>
    </row>
    <row r="937" spans="5:5" x14ac:dyDescent="0.2">
      <c r="E937" s="31"/>
    </row>
    <row r="938" spans="5:5" x14ac:dyDescent="0.2">
      <c r="E938" s="31"/>
    </row>
    <row r="939" spans="5:5" x14ac:dyDescent="0.2">
      <c r="E939" s="31"/>
    </row>
    <row r="940" spans="5:5" x14ac:dyDescent="0.2">
      <c r="E940" s="31"/>
    </row>
    <row r="941" spans="5:5" x14ac:dyDescent="0.2">
      <c r="E941" s="31"/>
    </row>
    <row r="942" spans="5:5" x14ac:dyDescent="0.2">
      <c r="E942" s="31"/>
    </row>
    <row r="943" spans="5:5" x14ac:dyDescent="0.2">
      <c r="E943" s="31"/>
    </row>
    <row r="944" spans="5:5" x14ac:dyDescent="0.2">
      <c r="E944" s="31"/>
    </row>
    <row r="945" spans="5:5" x14ac:dyDescent="0.2">
      <c r="E945" s="31"/>
    </row>
    <row r="946" spans="5:5" x14ac:dyDescent="0.2">
      <c r="E946" s="31"/>
    </row>
    <row r="947" spans="5:5" x14ac:dyDescent="0.2">
      <c r="E947" s="31"/>
    </row>
    <row r="948" spans="5:5" x14ac:dyDescent="0.2">
      <c r="E948" s="31"/>
    </row>
    <row r="949" spans="5:5" x14ac:dyDescent="0.2">
      <c r="E949" s="31"/>
    </row>
    <row r="950" spans="5:5" x14ac:dyDescent="0.2">
      <c r="E950" s="31"/>
    </row>
    <row r="951" spans="5:5" x14ac:dyDescent="0.2">
      <c r="E951" s="31"/>
    </row>
    <row r="952" spans="5:5" x14ac:dyDescent="0.2">
      <c r="E952" s="31"/>
    </row>
    <row r="953" spans="5:5" x14ac:dyDescent="0.2">
      <c r="E953" s="31"/>
    </row>
    <row r="954" spans="5:5" x14ac:dyDescent="0.2">
      <c r="E954" s="31"/>
    </row>
    <row r="955" spans="5:5" x14ac:dyDescent="0.2">
      <c r="E955" s="31"/>
    </row>
    <row r="956" spans="5:5" x14ac:dyDescent="0.2">
      <c r="E956" s="31"/>
    </row>
    <row r="957" spans="5:5" x14ac:dyDescent="0.2">
      <c r="E957" s="31"/>
    </row>
    <row r="958" spans="5:5" x14ac:dyDescent="0.2">
      <c r="E958" s="31"/>
    </row>
    <row r="959" spans="5:5" x14ac:dyDescent="0.2">
      <c r="E959" s="31"/>
    </row>
    <row r="960" spans="5:5" x14ac:dyDescent="0.2">
      <c r="E960" s="31"/>
    </row>
    <row r="961" spans="5:5" x14ac:dyDescent="0.2">
      <c r="E961" s="31"/>
    </row>
    <row r="962" spans="5:5" x14ac:dyDescent="0.2">
      <c r="E962" s="31"/>
    </row>
    <row r="963" spans="5:5" x14ac:dyDescent="0.2">
      <c r="E963" s="31"/>
    </row>
    <row r="964" spans="5:5" x14ac:dyDescent="0.2">
      <c r="E964" s="31"/>
    </row>
    <row r="965" spans="5:5" x14ac:dyDescent="0.2">
      <c r="E965" s="31"/>
    </row>
    <row r="966" spans="5:5" x14ac:dyDescent="0.2">
      <c r="E966" s="31"/>
    </row>
    <row r="967" spans="5:5" x14ac:dyDescent="0.2">
      <c r="E967" s="31"/>
    </row>
    <row r="968" spans="5:5" x14ac:dyDescent="0.2">
      <c r="E968" s="31"/>
    </row>
    <row r="969" spans="5:5" x14ac:dyDescent="0.2">
      <c r="E969" s="31"/>
    </row>
    <row r="970" spans="5:5" x14ac:dyDescent="0.2">
      <c r="E970" s="31"/>
    </row>
    <row r="971" spans="5:5" x14ac:dyDescent="0.2">
      <c r="E971" s="31"/>
    </row>
    <row r="972" spans="5:5" x14ac:dyDescent="0.2">
      <c r="E972" s="31"/>
    </row>
    <row r="973" spans="5:5" x14ac:dyDescent="0.2">
      <c r="E973" s="31"/>
    </row>
    <row r="974" spans="5:5" x14ac:dyDescent="0.2">
      <c r="E974" s="31"/>
    </row>
    <row r="975" spans="5:5" x14ac:dyDescent="0.2">
      <c r="E975" s="31"/>
    </row>
    <row r="976" spans="5:5" x14ac:dyDescent="0.2">
      <c r="E976" s="31"/>
    </row>
    <row r="977" spans="5:5" x14ac:dyDescent="0.2">
      <c r="E977" s="31"/>
    </row>
    <row r="978" spans="5:5" x14ac:dyDescent="0.2">
      <c r="E978" s="31"/>
    </row>
    <row r="979" spans="5:5" x14ac:dyDescent="0.2">
      <c r="E979" s="31"/>
    </row>
    <row r="980" spans="5:5" x14ac:dyDescent="0.2">
      <c r="E980" s="31"/>
    </row>
    <row r="981" spans="5:5" x14ac:dyDescent="0.2">
      <c r="E981" s="31"/>
    </row>
    <row r="982" spans="5:5" x14ac:dyDescent="0.2">
      <c r="E982" s="31"/>
    </row>
    <row r="983" spans="5:5" x14ac:dyDescent="0.2">
      <c r="E983" s="31"/>
    </row>
    <row r="984" spans="5:5" x14ac:dyDescent="0.2">
      <c r="E984" s="31"/>
    </row>
    <row r="985" spans="5:5" x14ac:dyDescent="0.2">
      <c r="E985" s="31"/>
    </row>
    <row r="986" spans="5:5" x14ac:dyDescent="0.2">
      <c r="E986" s="31"/>
    </row>
    <row r="987" spans="5:5" x14ac:dyDescent="0.2">
      <c r="E987" s="31"/>
    </row>
    <row r="988" spans="5:5" x14ac:dyDescent="0.2">
      <c r="E988" s="31"/>
    </row>
    <row r="989" spans="5:5" x14ac:dyDescent="0.2">
      <c r="E989" s="31"/>
    </row>
    <row r="990" spans="5:5" x14ac:dyDescent="0.2">
      <c r="E990" s="31"/>
    </row>
    <row r="991" spans="5:5" x14ac:dyDescent="0.2">
      <c r="E991" s="31"/>
    </row>
    <row r="992" spans="5:5" x14ac:dyDescent="0.2">
      <c r="E992" s="31"/>
    </row>
    <row r="993" spans="5:5" x14ac:dyDescent="0.2">
      <c r="E993" s="31"/>
    </row>
    <row r="994" spans="5:5" x14ac:dyDescent="0.2">
      <c r="E994" s="31"/>
    </row>
    <row r="995" spans="5:5" x14ac:dyDescent="0.2">
      <c r="E995" s="31"/>
    </row>
    <row r="996" spans="5:5" x14ac:dyDescent="0.2">
      <c r="E996" s="31"/>
    </row>
    <row r="997" spans="5:5" x14ac:dyDescent="0.2">
      <c r="E997" s="31"/>
    </row>
    <row r="998" spans="5:5" x14ac:dyDescent="0.2">
      <c r="E998" s="31"/>
    </row>
    <row r="999" spans="5:5" x14ac:dyDescent="0.2">
      <c r="E999" s="31"/>
    </row>
    <row r="1000" spans="5:5" x14ac:dyDescent="0.2">
      <c r="E1000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4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5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0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9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0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1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2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3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4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5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7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9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0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3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4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6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0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1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3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4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5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6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7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8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9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0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1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2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3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4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5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6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7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8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9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0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1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2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3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4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5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6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7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8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9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0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1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2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3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4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5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6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7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8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9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0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1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2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4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5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6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7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8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9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0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1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3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4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5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6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7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8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9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0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1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2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3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4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5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6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7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8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9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0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1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2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3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4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5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6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7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8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9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0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1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2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3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4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5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6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7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8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9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0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1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2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3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4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5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6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7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8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9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0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1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2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3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4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5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6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7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8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9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0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1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2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3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4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5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6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7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8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9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0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1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2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5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6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7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8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9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0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2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4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5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6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7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8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9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70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71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72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73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4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5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6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7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8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9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80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81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82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83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4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5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6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7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8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9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90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91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92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93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4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5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6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7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8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9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300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301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302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303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4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5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6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7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8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9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10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11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12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13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4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5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16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7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8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9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20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21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22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23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4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5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26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7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8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9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30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31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32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33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4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5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36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7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8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39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40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41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42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43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44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45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46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7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48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49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50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51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52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53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54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55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56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7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58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59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60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61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62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63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64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65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66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67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68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69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70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71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72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73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74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75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76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77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78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79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80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81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82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83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84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85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86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87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88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89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90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91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392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393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394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403</xdr:row>
                    <xdr:rowOff>0</xdr:rowOff>
                  </from>
                  <to>
                    <xdr:col>4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395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404</xdr:row>
                    <xdr:rowOff>0</xdr:rowOff>
                  </from>
                  <to>
                    <xdr:col>4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39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397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398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399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400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401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402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403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404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405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406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07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08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09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10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11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12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413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3" r:id="rId414" name="Button 43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415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5" r:id="rId416" name="Button 43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417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6" r:id="rId418" name="Button 43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419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7" r:id="rId420" name="Button 43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8" r:id="rId421" name="Button 43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9" r:id="rId422" name="Button 43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0" r:id="rId423" name="Button 43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1" r:id="rId424" name="Button 43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2" r:id="rId425" name="Button 43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3" r:id="rId426" name="Button 43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4" r:id="rId427" name="Button 43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4" r:id="rId428" name="Button 43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429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5" r:id="rId430" name="Button 43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2025-09-24T14:23:20Z</dcterms:modified>
</cp:coreProperties>
</file>