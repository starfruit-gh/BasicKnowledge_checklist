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SQL\"/>
    </mc:Choice>
  </mc:AlternateContent>
  <xr:revisionPtr revIDLastSave="0" documentId="13_ncr:1_{89F36FCC-853E-4F9D-BAD2-12A5E0550DEE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2" l="1"/>
  <c r="E27" i="2"/>
  <c r="E28" i="2"/>
  <c r="E75" i="2"/>
  <c r="E62" i="2"/>
  <c r="E78" i="2"/>
  <c r="E21" i="2"/>
  <c r="E36" i="2"/>
  <c r="E91" i="2"/>
  <c r="E96" i="2"/>
  <c r="E107" i="2"/>
  <c r="E79" i="2"/>
  <c r="E113" i="2"/>
  <c r="E51" i="2"/>
  <c r="E84" i="2"/>
  <c r="E17" i="2" a="1"/>
  <c r="E32" i="2"/>
  <c r="E7" i="2"/>
  <c r="E19" i="2"/>
  <c r="E76" i="2"/>
  <c r="E38" i="2"/>
  <c r="E8" i="2"/>
  <c r="E13" i="2" a="1"/>
  <c r="E71" i="2"/>
  <c r="E97" i="2"/>
  <c r="E112" i="2"/>
  <c r="E18" i="2" a="1"/>
  <c r="E55" i="2"/>
  <c r="E59" i="2"/>
  <c r="E16" i="2"/>
  <c r="E35" i="2"/>
  <c r="E68" i="2"/>
  <c r="E4" i="2" a="1"/>
  <c r="E46" i="2"/>
  <c r="E104" i="2"/>
  <c r="E34" i="2"/>
  <c r="E52" i="2"/>
  <c r="E81" i="2"/>
  <c r="E48" i="2"/>
  <c r="E43" i="2"/>
  <c r="E108" i="2"/>
  <c r="E98" i="2"/>
  <c r="E69" i="2"/>
  <c r="E54" i="2"/>
  <c r="E66" i="2"/>
  <c r="E50" i="2"/>
  <c r="E11" i="2" a="1"/>
  <c r="E33" i="2"/>
  <c r="E56" i="2"/>
  <c r="E88" i="2"/>
  <c r="E106" i="2"/>
  <c r="E31" i="2"/>
  <c r="E20" i="2"/>
  <c r="E111" i="2"/>
  <c r="E74" i="2"/>
  <c r="E86" i="2"/>
  <c r="E110" i="2"/>
  <c r="E39" i="2"/>
  <c r="E80" i="2"/>
  <c r="E47" i="2"/>
  <c r="E53" i="2"/>
  <c r="E100" i="2"/>
  <c r="E72" i="2"/>
  <c r="E5" i="2" a="1"/>
  <c r="E93" i="2"/>
  <c r="E114" i="2"/>
  <c r="E44" i="2"/>
  <c r="E115" i="2"/>
  <c r="E37" i="2"/>
  <c r="E73" i="2"/>
  <c r="E67" i="2"/>
  <c r="E82" i="2"/>
  <c r="E10" i="2"/>
  <c r="E102" i="2"/>
  <c r="E58" i="2"/>
  <c r="E40" i="2"/>
  <c r="E109" i="2"/>
  <c r="E105" i="2"/>
  <c r="E14" i="2" a="1"/>
  <c r="E70" i="2"/>
  <c r="E60" i="2"/>
  <c r="E41" i="2"/>
  <c r="E12" i="2" a="1"/>
  <c r="E89" i="2"/>
  <c r="E22" i="2"/>
  <c r="E45" i="2"/>
  <c r="E61" i="2"/>
  <c r="E24" i="2"/>
  <c r="E63" i="2"/>
  <c r="E15" i="2"/>
  <c r="E101" i="2"/>
  <c r="E9" i="2"/>
  <c r="E25" i="2"/>
  <c r="E42" i="2"/>
  <c r="E83" i="2"/>
  <c r="E99" i="2"/>
  <c r="E30" i="2"/>
  <c r="E64" i="2"/>
  <c r="E92" i="2"/>
  <c r="E87" i="2"/>
  <c r="E26" i="2"/>
  <c r="E6" i="2" a="1"/>
  <c r="E29" i="2"/>
  <c r="E103" i="2"/>
  <c r="E95" i="2"/>
  <c r="E90" i="2"/>
  <c r="E77" i="2"/>
  <c r="E65" i="2"/>
  <c r="E85" i="2"/>
  <c r="E23" i="2"/>
  <c r="E57" i="2"/>
  <c r="E94" i="2"/>
  <c r="E17" i="2" l="1"/>
  <c r="E4" i="2"/>
  <c r="E6" i="2"/>
  <c r="E18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<sst xmlns="http://schemas.openxmlformats.org/spreadsheetml/2006/main" count="53" uniqueCount="53">
  <si>
    <t>距上次回顾：</t>
    <phoneticPr fontId="2" type="noConversion"/>
  </si>
  <si>
    <t>时间：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</si>
  <si>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</si>
  <si>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</si>
  <si>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</si>
  <si>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</si>
  <si>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</si>
  <si>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</si>
  <si>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</si>
  <si>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</si>
  <si>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</si>
  <si>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</si>
  <si>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</si>
  <si>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</si>
  <si>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</si>
  <si>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</si>
  <si>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</si>
  <si>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</si>
  <si>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</si>
  <si>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</si>
  <si>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</si>
  <si>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</si>
  <si>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</si>
  <si>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</si>
  <si>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</si>
  <si>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</si>
  <si>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</si>
  <si>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</si>
  <si>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</si>
  <si>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</si>
  <si>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</si>
  <si>
    <t>（一）概述</t>
    <phoneticPr fontId="2" type="noConversion"/>
  </si>
  <si>
    <t>（二）DQL</t>
    <phoneticPr fontId="2" type="noConversion"/>
  </si>
  <si>
    <t>（三）DDL</t>
    <phoneticPr fontId="2" type="noConversion"/>
  </si>
  <si>
    <t>（四）DML</t>
    <phoneticPr fontId="2" type="noConversion"/>
  </si>
  <si>
    <t>多行处理函数（5）</t>
    <phoneticPr fontId="2" type="noConversion"/>
  </si>
  <si>
    <t>单行处理函数（9、5、2+6+9+10、5）</t>
    <phoneticPr fontId="2" type="noConversion"/>
  </si>
  <si>
    <t>单表字段总结</t>
    <phoneticPr fontId="2" type="noConversion"/>
  </si>
  <si>
    <t>笛卡尔积</t>
    <phoneticPr fontId="2" type="noConversion"/>
  </si>
  <si>
    <t>SQL</t>
    <phoneticPr fontId="2" type="noConversion"/>
  </si>
  <si>
    <t>MySQL数据类型（535642）</t>
    <phoneticPr fontId="2" type="noConversion"/>
  </si>
  <si>
    <t>ACID特性</t>
    <phoneticPr fontId="2" type="noConversion"/>
  </si>
  <si>
    <t>redolog</t>
    <phoneticPr fontId="2" type="noConversion"/>
  </si>
  <si>
    <t>undolog</t>
    <phoneticPr fontId="2" type="noConversion"/>
  </si>
  <si>
    <t>什么是索引（书籍有无目录）</t>
    <phoneticPr fontId="2" type="noConversion"/>
  </si>
  <si>
    <t>为什么需要索引（优点和缺点）</t>
    <phoneticPr fontId="2" type="noConversion"/>
  </si>
  <si>
    <t>何时使用索引</t>
    <phoneticPr fontId="2" type="noConversion"/>
  </si>
  <si>
    <t>索引的核心数据结构</t>
    <phoneticPr fontId="2" type="noConversion"/>
  </si>
  <si>
    <t>索引的类型</t>
    <phoneticPr fontId="2" type="noConversion"/>
  </si>
  <si>
    <t>使用索引的注意事项</t>
    <phoneticPr fontId="2" type="noConversion"/>
  </si>
  <si>
    <t>索引失效与排查</t>
    <phoneticPr fontId="2" type="noConversion"/>
  </si>
  <si>
    <t>条件查询（14）</t>
    <phoneticPr fontId="2" type="noConversion"/>
  </si>
  <si>
    <t>索引的最左前缀原则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</si>
</sst>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6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3" activePane="bottomLeft" state="frozen"/>
      <selection pane="bottomLeft" activeCell="C32" sqref="C32"/>
    </sheetView>
  </sheetViews>
  <sheetFormatPr defaultRowHeight="16.5" x14ac:dyDescent="0.2"/>
  <cols>
    <col min="1" max="1" width="17.25" style="16" customWidth="1"/>
    <col min="2" max="2" width="4.25" style="1" customWidth="1"/>
    <col min="3" max="3" width="32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39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31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1天5小时13分29秒</v>
      </c>
      <c r="F4" s="6">
        <v>45925.766863425924</v>
      </c>
      <c r="G4" s="6">
        <v>45926.660983796297</v>
      </c>
      <c r="H4" s="6">
        <v>45928.649629629632</v>
      </c>
      <c r="I4" s="6"/>
      <c r="J4" s="6"/>
      <c r="K4" s="6"/>
      <c r="L4" s="7"/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1天5小时9分59秒</v>
      </c>
      <c r="F5" s="6">
        <v>45925.769282407404</v>
      </c>
      <c r="G5" s="6">
        <v>45926.662199074075</v>
      </c>
      <c r="H5" s="6">
        <v>45928.652060185188</v>
      </c>
      <c r="I5" s="6"/>
      <c r="J5" s="6"/>
      <c r="K5" s="6"/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28</v>
      </c>
      <c r="D6"/>
      <c r="E6" s="26" t="str" cm="1">
        <f t="array" aca="1" ref="E6" ca="1">IFERROR(_xlfn.SINGLE(FormatTimeSpan(NOW()-LOOKUP(2,1/(F6:ZZ6&lt;&gt;""),F6:ZZ6))),"")</f>
        <v>1天4小时42分18秒</v>
      </c>
      <c r="F6" s="6">
        <v>45925.868298611109</v>
      </c>
      <c r="G6" s="6">
        <v>45926.666539351849</v>
      </c>
      <c r="H6" s="6">
        <v>45928.671284722222</v>
      </c>
      <c r="I6" s="6"/>
      <c r="J6" s="6"/>
      <c r="K6" s="6"/>
    </row>
    <row r="7" spans="1:26" s="8" customFormat="1" x14ac:dyDescent="0.2">
      <c r="A7" s="12"/>
      <c r="B7" s="5" t="b">
        <v>0</v>
      </c>
      <c r="C7" s="13" t="s">
        <v>4</v>
      </c>
      <c r="D7"/>
      <c r="E7" s="26" t="str">
        <f ca="1">IFERROR(FormatTimeSpan(NOW()-LOOKUP(2,1/(F7:ZZ7&lt;&gt;""),F7:ZZ7)),"")</f>
        <v>1天4小时37分14秒</v>
      </c>
      <c r="F7" s="6">
        <v>45925.870636574073</v>
      </c>
      <c r="G7" s="6">
        <v>45926.667511574073</v>
      </c>
      <c r="H7" s="6">
        <v>45928.674803240741</v>
      </c>
      <c r="I7" s="6"/>
      <c r="J7" s="6"/>
      <c r="K7" s="6"/>
    </row>
    <row r="8" spans="1:26" s="8" customFormat="1" x14ac:dyDescent="0.2">
      <c r="A8" s="12"/>
      <c r="B8" s="5" t="b">
        <v>0</v>
      </c>
      <c r="C8" s="13" t="s">
        <v>5</v>
      </c>
      <c r="D8"/>
      <c r="E8" s="26" t="str">
        <f ca="1">IFERROR(FormatTimeSpan(NOW()-LOOKUP(2,1/(F8:ZZ8&lt;&gt;""),F8:ZZ8)),"")</f>
        <v>1天4小时27分40秒</v>
      </c>
      <c r="F8" s="6">
        <v>45925.872928240744</v>
      </c>
      <c r="G8" s="6">
        <v>45926.670914351853</v>
      </c>
      <c r="H8" s="6">
        <v>45928.681446759256</v>
      </c>
      <c r="I8" s="6"/>
      <c r="J8" s="6"/>
      <c r="K8" s="6"/>
    </row>
    <row r="9" spans="1:26" s="8" customFormat="1" x14ac:dyDescent="0.2">
      <c r="A9" s="10" t="s">
        <v>32</v>
      </c>
      <c r="B9" s="5" t="b">
        <v>0</v>
      </c>
      <c r="C9" s="13" t="s">
        <v>6</v>
      </c>
      <c r="D9"/>
      <c r="E9" s="26" t="str">
        <f ca="1">IFERROR(FormatTimeSpan(NOW()-LOOKUP(2,1/(F9:ZZ9&lt;&gt;""),F9:ZZ9)),"")</f>
        <v>1天4小时26分40秒</v>
      </c>
      <c r="F9" s="6">
        <v>45925.873287037037</v>
      </c>
      <c r="G9" s="6">
        <v>45926.67114583333</v>
      </c>
      <c r="H9" s="6">
        <v>45928.682141203702</v>
      </c>
      <c r="I9" s="6"/>
      <c r="J9" s="6"/>
      <c r="K9" s="6"/>
    </row>
    <row r="10" spans="1:26" s="8" customFormat="1" x14ac:dyDescent="0.2">
      <c r="A10" s="10"/>
      <c r="B10" s="5" t="b">
        <v>0</v>
      </c>
      <c r="C10" s="13" t="s">
        <v>26</v>
      </c>
      <c r="D10"/>
      <c r="E10" s="26" t="str">
        <f ca="1">IFERROR(FormatTimeSpan(NOW()-LOOKUP(2,1/(F10:ZZ10&lt;&gt;""),F10:ZZ10)),"")</f>
        <v>1天4小时26分19秒</v>
      </c>
      <c r="F10" s="6">
        <v>45925.873460648145</v>
      </c>
      <c r="G10" s="6">
        <v>45926.671423611115</v>
      </c>
      <c r="H10" s="6">
        <v>45928.682384259257</v>
      </c>
      <c r="I10" s="6"/>
      <c r="J10" s="6"/>
      <c r="K10" s="6"/>
    </row>
    <row r="11" spans="1:26" s="8" customFormat="1" x14ac:dyDescent="0.2">
      <c r="A11" s="10"/>
      <c r="B11" s="5" t="b">
        <v>0</v>
      </c>
      <c r="C11" s="14" t="s">
        <v>7</v>
      </c>
      <c r="D11"/>
      <c r="E11" s="26" t="str" cm="1">
        <f t="array" aca="1" ref="E11" ca="1">IFERROR(_xlfn.SINGLE(FormatTimeSpan(NOW()-LOOKUP(2,1/(F11:ZZ11&lt;&gt;""),F11:ZZ11))),"")</f>
        <v>1天4小时25分38秒</v>
      </c>
      <c r="F11" s="6">
        <v>45925.873831018522</v>
      </c>
      <c r="G11" s="6">
        <v>45926.671863425923</v>
      </c>
      <c r="H11" s="6">
        <v>45928.682858796295</v>
      </c>
      <c r="I11" s="6"/>
      <c r="J11" s="6"/>
    </row>
    <row r="12" spans="1:26" s="8" customFormat="1" x14ac:dyDescent="0.2">
      <c r="A12" s="10"/>
      <c r="B12" s="5" t="b">
        <v>0</v>
      </c>
      <c r="C12" s="14" t="s">
        <v>51</v>
      </c>
      <c r="D12"/>
      <c r="E12" s="26" t="str" cm="1">
        <f t="array" aca="1" ref="E12" ca="1">IFERROR(_xlfn.SINGLE(FormatTimeSpan(NOW()-LOOKUP(2,1/(F12:ZZ12&lt;&gt;""),F12:ZZ12))),"")</f>
        <v>1天4小时4分53秒</v>
      </c>
      <c r="F12" s="6">
        <v>45925.877500000002</v>
      </c>
      <c r="G12" s="6">
        <v>45926.674976851849</v>
      </c>
      <c r="H12" s="6">
        <v>45928.697268518517</v>
      </c>
      <c r="I12" s="6"/>
      <c r="J12" s="6"/>
    </row>
    <row r="13" spans="1:26" s="8" customFormat="1" x14ac:dyDescent="0.2">
      <c r="A13" s="10"/>
      <c r="B13" s="5" t="b">
        <v>0</v>
      </c>
      <c r="C13" s="14" t="s">
        <v>27</v>
      </c>
      <c r="D13"/>
      <c r="E13" s="26" t="str" cm="1">
        <f t="array" aca="1" ref="E13" ca="1">IFERROR(_xlfn.SINGLE(FormatTimeSpan(NOW()-LOOKUP(2,1/(F13:ZZ13&lt;&gt;""),F13:ZZ13))),"")</f>
        <v>1天4小时3分47秒</v>
      </c>
      <c r="F13" s="6">
        <v>45925.880497685182</v>
      </c>
      <c r="G13" s="6">
        <v>45926.675763888888</v>
      </c>
      <c r="H13" s="6">
        <v>45928.69803240741</v>
      </c>
      <c r="I13" s="6"/>
      <c r="J13" s="6"/>
    </row>
    <row r="14" spans="1:26" s="8" customFormat="1" x14ac:dyDescent="0.2">
      <c r="A14" s="10"/>
      <c r="B14" s="5" t="b">
        <v>0</v>
      </c>
      <c r="C14" s="14" t="s">
        <v>36</v>
      </c>
      <c r="D14"/>
      <c r="E14" s="26" t="str" cm="1">
        <f t="array" aca="1" ref="E14" ca="1">IFERROR(_xlfn.SINGLE(FormatTimeSpan(NOW()-LOOKUP(2,1/(F14:ZZ14&lt;&gt;""),F14:ZZ14))),"")</f>
        <v>11小时18分18秒</v>
      </c>
      <c r="F14" s="6">
        <v>45927.427037037036</v>
      </c>
      <c r="G14" s="6">
        <v>45929.396284722221</v>
      </c>
      <c r="H14" s="6"/>
      <c r="I14" s="6"/>
      <c r="J14" s="6"/>
    </row>
    <row r="15" spans="1:26" s="8" customFormat="1" x14ac:dyDescent="0.2">
      <c r="A15" s="10"/>
      <c r="B15" s="5" t="b">
        <v>0</v>
      </c>
      <c r="C15" s="13" t="s">
        <v>35</v>
      </c>
      <c r="D15"/>
      <c r="E15" s="26" t="str">
        <f ca="1">IFERROR(FormatTimeSpan(NOW()-LOOKUP(2,1/(F15:ZZ15&lt;&gt;""),F15:ZZ15)),"")</f>
        <v>11小时14分22秒</v>
      </c>
      <c r="F15" s="6">
        <v>45927.429398148146</v>
      </c>
      <c r="G15" s="6">
        <v>45929.399016203701</v>
      </c>
      <c r="H15" s="6"/>
      <c r="I15" s="6"/>
      <c r="J15" s="6"/>
    </row>
    <row r="16" spans="1:26" s="8" customFormat="1" x14ac:dyDescent="0.2">
      <c r="A16" s="10"/>
      <c r="B16" s="5" t="b">
        <v>0</v>
      </c>
      <c r="C16" s="13" t="s">
        <v>8</v>
      </c>
      <c r="D16"/>
      <c r="E16" s="26" t="str">
        <f ca="1">IFERROR(FormatTimeSpan(NOW()-LOOKUP(2,1/(F16:ZZ16&lt;&gt;""),F16:ZZ16)),"")</f>
        <v>11小时6分12秒</v>
      </c>
      <c r="F16" s="6">
        <v>45927.431550925925</v>
      </c>
      <c r="G16" s="6">
        <v>45929.404687499999</v>
      </c>
      <c r="H16" s="6"/>
      <c r="I16" s="6"/>
      <c r="J16" s="6"/>
    </row>
    <row r="17" spans="1:10" s="8" customFormat="1" x14ac:dyDescent="0.2">
      <c r="A17" s="10"/>
      <c r="B17" s="5" t="b">
        <v>0</v>
      </c>
      <c r="C17" s="13" t="s">
        <v>9</v>
      </c>
      <c r="D17"/>
      <c r="E17" s="26" t="str" cm="1">
        <f t="array" aca="1" ref="E17" ca="1">IFERROR(_xlfn.SINGLE(FormatTimeSpan(NOW()-LOOKUP(2,1/(F17:ZZ17&lt;&gt;""),F17:ZZ17))),"")</f>
        <v>11小时5分27秒</v>
      </c>
      <c r="F17" s="6">
        <v>45927.433275462965</v>
      </c>
      <c r="G17" s="6">
        <v>45929.40520833333</v>
      </c>
      <c r="H17" s="6"/>
      <c r="I17" s="6"/>
      <c r="J17" s="6"/>
    </row>
    <row r="18" spans="1:10" s="8" customFormat="1" x14ac:dyDescent="0.2">
      <c r="A18" s="10"/>
      <c r="B18" s="5" t="b">
        <v>0</v>
      </c>
      <c r="C18" s="13" t="s">
        <v>10</v>
      </c>
      <c r="D18"/>
      <c r="E18" s="26" t="str" cm="1">
        <f t="array" aca="1" ref="E18" ca="1">IFERROR(_xlfn.SINGLE(FormatTimeSpan(NOW()-LOOKUP(2,1/(F18:ZZ18&lt;&gt;""),F18:ZZ18))),"")</f>
        <v>11小时4分26秒</v>
      </c>
      <c r="F18" s="6">
        <v>45927.433796296296</v>
      </c>
      <c r="G18" s="6">
        <v>45929.405914351853</v>
      </c>
      <c r="H18" s="6"/>
      <c r="I18" s="6"/>
      <c r="J18" s="6"/>
    </row>
    <row r="19" spans="1:10" s="8" customFormat="1" x14ac:dyDescent="0.2">
      <c r="A19" s="10"/>
      <c r="B19" s="5" t="b">
        <v>0</v>
      </c>
      <c r="C19" s="13" t="s">
        <v>37</v>
      </c>
      <c r="D19"/>
      <c r="E19" s="26" t="str">
        <f ca="1">IFERROR(FormatTimeSpan(NOW()-LOOKUP(2,1/(F19:ZZ19&lt;&gt;""),F19:ZZ19)),"")</f>
        <v>11小时3分9秒</v>
      </c>
      <c r="F19" s="6">
        <v>45927.436736111114</v>
      </c>
      <c r="G19" s="6">
        <v>45929.406805555554</v>
      </c>
      <c r="H19" s="6"/>
      <c r="I19" s="6"/>
      <c r="J19" s="6"/>
    </row>
    <row r="20" spans="1:10" s="8" customFormat="1" x14ac:dyDescent="0.2">
      <c r="A20" s="10"/>
      <c r="B20" s="5" t="b">
        <v>0</v>
      </c>
      <c r="C20" s="13" t="s">
        <v>12</v>
      </c>
      <c r="D20"/>
      <c r="E20" s="26" t="str">
        <f ca="1">IFERROR(FormatTimeSpan(NOW()-LOOKUP(2,1/(F20:ZZ20&lt;&gt;""),F20:ZZ20)),"")</f>
        <v>10小时46分11秒</v>
      </c>
      <c r="F20" s="6">
        <v>45927.441354166665</v>
      </c>
      <c r="G20" s="6">
        <v>45929.418587962966</v>
      </c>
      <c r="H20" s="6"/>
      <c r="I20" s="6"/>
      <c r="J20" s="6"/>
    </row>
    <row r="21" spans="1:10" s="8" customFormat="1" x14ac:dyDescent="0.2">
      <c r="A21" s="10"/>
      <c r="B21" s="5" t="b">
        <v>0</v>
      </c>
      <c r="C21" s="13" t="s">
        <v>38</v>
      </c>
      <c r="D21"/>
      <c r="E21" s="26" t="str">
        <f ca="1">IFERROR(FormatTimeSpan(NOW()-LOOKUP(2,1/(F21:ZZ21&lt;&gt;""),F21:ZZ21)),"")</f>
        <v>10小时44分55秒</v>
      </c>
      <c r="F21" s="6">
        <v>45927.447187500002</v>
      </c>
      <c r="G21" s="6">
        <v>45929.41946759259</v>
      </c>
      <c r="H21" s="6"/>
      <c r="I21" s="6"/>
      <c r="J21" s="6"/>
    </row>
    <row r="22" spans="1:10" s="8" customFormat="1" x14ac:dyDescent="0.2">
      <c r="A22" s="10"/>
      <c r="B22" s="5" t="b">
        <v>0</v>
      </c>
      <c r="C22" s="13" t="s">
        <v>13</v>
      </c>
      <c r="D22"/>
      <c r="E22" s="26" t="str">
        <f ca="1">IFERROR(FormatTimeSpan(NOW()-LOOKUP(2,1/(F22:ZZ22&lt;&gt;""),F22:ZZ22)),"")</f>
        <v>10小时44分11秒</v>
      </c>
      <c r="F22" s="6">
        <v>45927.447592592594</v>
      </c>
      <c r="G22" s="6">
        <v>45929.419976851852</v>
      </c>
      <c r="H22" s="6"/>
      <c r="I22" s="6"/>
      <c r="J22" s="6"/>
    </row>
    <row r="23" spans="1:10" s="8" customFormat="1" x14ac:dyDescent="0.2">
      <c r="A23" s="10"/>
      <c r="B23" s="5" t="b">
        <v>0</v>
      </c>
      <c r="C23" s="13" t="s">
        <v>14</v>
      </c>
      <c r="D23"/>
      <c r="E23" s="26" t="str">
        <f ca="1">IFERROR(FormatTimeSpan(NOW()-LOOKUP(2,1/(F23:ZZ23&lt;&gt;""),F23:ZZ23)),"")</f>
        <v>10小时43分57秒</v>
      </c>
      <c r="F23" s="6">
        <v>45927.45208333333</v>
      </c>
      <c r="G23" s="6">
        <v>45929.420138888891</v>
      </c>
      <c r="H23" s="6"/>
      <c r="I23" s="6"/>
      <c r="J23" s="6"/>
    </row>
    <row r="24" spans="1:10" s="8" customFormat="1" x14ac:dyDescent="0.2">
      <c r="A24" s="10"/>
      <c r="B24" s="5" t="b">
        <v>0</v>
      </c>
      <c r="C24" s="13" t="s">
        <v>15</v>
      </c>
      <c r="D24"/>
      <c r="E24" s="26" t="str">
        <f ca="1">IFERROR(FormatTimeSpan(NOW()-LOOKUP(2,1/(F24:ZZ24&lt;&gt;""),F24:ZZ24)),"")</f>
        <v>10小时42分60秒</v>
      </c>
      <c r="F24" s="6">
        <v>45927.454722222225</v>
      </c>
      <c r="G24" s="6">
        <v>45929.420798611114</v>
      </c>
      <c r="H24" s="6"/>
      <c r="I24" s="6"/>
      <c r="J24" s="6"/>
    </row>
    <row r="25" spans="1:10" s="8" customFormat="1" x14ac:dyDescent="0.2">
      <c r="A25" s="10"/>
      <c r="B25" s="5" t="b">
        <v>0</v>
      </c>
      <c r="C25" s="13" t="s">
        <v>16</v>
      </c>
      <c r="D25"/>
      <c r="E25" s="26" t="str">
        <f ca="1">IFERROR(FormatTimeSpan(NOW()-LOOKUP(2,1/(F25:ZZ25&lt;&gt;""),F25:ZZ25)),"")</f>
        <v>10小时41分16秒</v>
      </c>
      <c r="F25" s="6">
        <v>45927.457662037035</v>
      </c>
      <c r="G25" s="6">
        <v>45929.422002314815</v>
      </c>
      <c r="H25" s="6"/>
      <c r="I25" s="6"/>
      <c r="J25" s="6"/>
    </row>
    <row r="26" spans="1:10" s="8" customFormat="1" x14ac:dyDescent="0.2">
      <c r="A26" s="10"/>
      <c r="B26" s="5" t="b">
        <v>0</v>
      </c>
      <c r="C26" s="13" t="s">
        <v>11</v>
      </c>
      <c r="D26"/>
      <c r="E26" s="26" t="str">
        <f ca="1">IFERROR(FormatTimeSpan(NOW()-LOOKUP(2,1/(F26:ZZ26&lt;&gt;""),F26:ZZ26)),"")</f>
        <v>10小时39分55秒</v>
      </c>
      <c r="F26" s="6">
        <v>45927.460532407407</v>
      </c>
      <c r="G26" s="6">
        <v>45929.422939814816</v>
      </c>
      <c r="H26" s="6"/>
      <c r="I26" s="6"/>
      <c r="J26" s="6"/>
    </row>
    <row r="27" spans="1:10" s="8" customFormat="1" x14ac:dyDescent="0.2">
      <c r="A27" s="10" t="s">
        <v>33</v>
      </c>
      <c r="B27" s="5" t="b">
        <v>0</v>
      </c>
      <c r="C27" s="13" t="s">
        <v>17</v>
      </c>
      <c r="D27"/>
      <c r="E27" s="27" t="str">
        <f>IFERROR(FormatTimeSpan(Z$1-LOOKUP(2,1/(F27:ZZ27&lt;&gt;""),F27:ZZ27)),"")</f>
        <v>3个月1天13小时49分2秒</v>
      </c>
      <c r="F27" s="6">
        <v>45927.756122685183</v>
      </c>
      <c r="G27" s="6">
        <v>45929.42428240741</v>
      </c>
      <c r="H27" s="6"/>
      <c r="I27" s="6"/>
      <c r="J27" s="6"/>
    </row>
    <row r="28" spans="1:10" s="8" customFormat="1" x14ac:dyDescent="0.2">
      <c r="A28" s="10" t="s">
        <v>34</v>
      </c>
      <c r="B28" s="5" t="b">
        <v>0</v>
      </c>
      <c r="C28" s="13" t="s">
        <v>18</v>
      </c>
      <c r="D28"/>
      <c r="E28" s="27" t="str">
        <f>IFERROR(FormatTimeSpan(Z$1-LOOKUP(2,1/(F28:ZZ28&lt;&gt;""),F28:ZZ28)),"")</f>
        <v>3个月1天13小时46分26秒</v>
      </c>
      <c r="F28" s="6">
        <v>45927.759166666663</v>
      </c>
      <c r="G28" s="6">
        <v>45929.426087962966</v>
      </c>
      <c r="H28" s="6"/>
      <c r="I28" s="6"/>
      <c r="J28" s="6"/>
    </row>
    <row r="29" spans="1:10" s="8" customFormat="1" x14ac:dyDescent="0.2">
      <c r="A29" s="18"/>
      <c r="B29" s="5" t="b">
        <v>0</v>
      </c>
      <c r="C29" s="13" t="s">
        <v>40</v>
      </c>
      <c r="D29"/>
      <c r="E29" s="26" t="str">
        <f ca="1">IFERROR(FormatTimeSpan(NOW()-LOOKUP(2,1/(F29:ZZ29&lt;&gt;""),F29:ZZ29)),"")</f>
        <v>10小时33分38秒</v>
      </c>
      <c r="F29" s="6">
        <v>45927.761087962965</v>
      </c>
      <c r="G29" s="6">
        <v>45929.427303240744</v>
      </c>
      <c r="H29" s="6"/>
      <c r="I29" s="6"/>
      <c r="J29" s="6"/>
    </row>
    <row r="30" spans="1:10" s="8" customFormat="1" x14ac:dyDescent="0.2">
      <c r="A30" s="18"/>
      <c r="B30" s="5" t="b">
        <v>0</v>
      </c>
      <c r="C30" s="13" t="s">
        <v>19</v>
      </c>
      <c r="D30"/>
      <c r="E30" s="26" t="str">
        <f ca="1">IFERROR(FormatTimeSpan(NOW()-LOOKUP(2,1/(F30:ZZ30&lt;&gt;""),F30:ZZ30)),"")</f>
        <v>10小时25分39秒</v>
      </c>
      <c r="F30" s="6">
        <v>45927.771724537037</v>
      </c>
      <c r="G30" s="6">
        <v>45929.432847222219</v>
      </c>
      <c r="H30" s="6"/>
      <c r="I30" s="6"/>
      <c r="J30" s="6"/>
    </row>
    <row r="31" spans="1:10" s="8" customFormat="1" x14ac:dyDescent="0.2">
      <c r="A31" s="18"/>
      <c r="B31" s="5" t="b">
        <v>0</v>
      </c>
      <c r="C31" s="13" t="s">
        <v>20</v>
      </c>
      <c r="D31"/>
      <c r="E31" s="26" t="str">
        <f ca="1">IFERROR(FormatTimeSpan(NOW()-LOOKUP(2,1/(F31:ZZ31&lt;&gt;""),F31:ZZ31)),"")</f>
        <v>10小时17分43秒</v>
      </c>
      <c r="F31" s="6">
        <v>45927.826898148145</v>
      </c>
      <c r="G31" s="6">
        <v>45929.438356481478</v>
      </c>
      <c r="H31" s="6"/>
      <c r="I31" s="6"/>
      <c r="J31" s="6"/>
    </row>
    <row r="32" spans="1:10" s="8" customFormat="1" x14ac:dyDescent="0.2">
      <c r="A32" s="18" t="s">
        <v>22</v>
      </c>
      <c r="B32" s="5" t="b">
        <v>0</v>
      </c>
      <c r="C32" s="13" t="s">
        <v>44</v>
      </c>
      <c r="D32"/>
      <c r="E32" s="26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">
      <c r="A33" s="10"/>
      <c r="B33" s="5" t="b">
        <v>0</v>
      </c>
      <c r="C33" s="21" t="s">
        <v>45</v>
      </c>
      <c r="D33"/>
      <c r="E33" s="26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">
      <c r="A34" s="18"/>
      <c r="B34" s="5" t="b">
        <v>0</v>
      </c>
      <c r="C34" s="21" t="s">
        <v>46</v>
      </c>
      <c r="D34"/>
      <c r="E34" s="26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">
      <c r="A35" s="18"/>
      <c r="B35" s="5" t="b">
        <v>0</v>
      </c>
      <c r="C35" s="21" t="s">
        <v>50</v>
      </c>
      <c r="D35"/>
      <c r="E35" s="26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1" s="8" customFormat="1" x14ac:dyDescent="0.2">
      <c r="A36" s="18"/>
      <c r="B36" s="5" t="b">
        <v>0</v>
      </c>
      <c r="C36" s="21" t="s">
        <v>49</v>
      </c>
      <c r="D36"/>
      <c r="E36" s="26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">
      <c r="A37" s="18"/>
      <c r="B37" s="5" t="b">
        <v>0</v>
      </c>
      <c r="C37" s="21" t="s">
        <v>48</v>
      </c>
      <c r="D37"/>
      <c r="E37" s="26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1" s="8" customFormat="1" x14ac:dyDescent="0.2">
      <c r="A38" s="18"/>
      <c r="B38" s="5" t="b">
        <v>0</v>
      </c>
      <c r="C38" s="21" t="s">
        <v>47</v>
      </c>
      <c r="D38"/>
      <c r="E38" s="26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">
      <c r="A39" s="12"/>
      <c r="B39" s="5" t="b">
        <v>0</v>
      </c>
      <c r="C39" s="21" t="s">
        <v>52</v>
      </c>
      <c r="D39"/>
      <c r="E39" s="26" t="str">
        <f ca="1">IFERROR(FormatTimeSpan(NOW()-LOOKUP(2,1/(F39:ZZ39&lt;&gt;""),F39:ZZ39)),"")</f>
        <v/>
      </c>
      <c r="F39" s="6"/>
      <c r="G39" s="6"/>
      <c r="H39" s="6"/>
      <c r="I39" s="6"/>
      <c r="J39" s="6"/>
      <c r="K39" s="6"/>
    </row>
    <row r="40" spans="1:11" s="8" customFormat="1" x14ac:dyDescent="0.2">
      <c r="A40" s="18"/>
      <c r="B40" s="5" t="b">
        <v>0</v>
      </c>
      <c r="C40" s="21"/>
      <c r="D40"/>
      <c r="E40" s="26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">
      <c r="A41" s="18"/>
      <c r="B41" s="5" t="b">
        <v>0</v>
      </c>
      <c r="C41" s="21"/>
      <c r="D41"/>
      <c r="E41" s="26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">
      <c r="A42" s="18"/>
      <c r="B42" s="5" t="b">
        <v>0</v>
      </c>
      <c r="C42" s="21"/>
      <c r="D42"/>
      <c r="E42" s="26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">
      <c r="A43" s="18"/>
      <c r="B43" s="5" t="b">
        <v>0</v>
      </c>
      <c r="C43" s="21"/>
      <c r="D43"/>
      <c r="E43" s="26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">
      <c r="A44" s="18"/>
      <c r="B44" s="5" t="b">
        <v>0</v>
      </c>
      <c r="C44" s="21"/>
      <c r="D44"/>
      <c r="E44" s="26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">
      <c r="A45" s="18"/>
      <c r="B45" s="5" t="b">
        <v>0</v>
      </c>
      <c r="C45" s="21"/>
      <c r="D45"/>
      <c r="E45" s="26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1" s="8" customFormat="1" x14ac:dyDescent="0.2">
      <c r="A46" s="18"/>
      <c r="B46" s="5" t="b">
        <v>0</v>
      </c>
      <c r="C46" s="14" t="s">
        <v>23</v>
      </c>
      <c r="D46"/>
      <c r="E46" s="26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1" s="8" customFormat="1" x14ac:dyDescent="0.2">
      <c r="A47" s="18"/>
      <c r="B47" s="5" t="b">
        <v>0</v>
      </c>
      <c r="C47" s="14" t="s">
        <v>24</v>
      </c>
      <c r="D47"/>
      <c r="E47" s="26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1" s="8" customFormat="1" x14ac:dyDescent="0.2">
      <c r="A48" s="18"/>
      <c r="B48" s="5" t="b">
        <v>0</v>
      </c>
      <c r="C48" s="14" t="s">
        <v>25</v>
      </c>
      <c r="D48"/>
      <c r="E48" s="26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9" s="8" customFormat="1" x14ac:dyDescent="0.2">
      <c r="A49" s="18"/>
      <c r="B49" s="5" t="b">
        <v>0</v>
      </c>
      <c r="C49" s="13" t="s">
        <v>30</v>
      </c>
      <c r="D49"/>
      <c r="E49" s="27" t="str">
        <f>IFERROR(FormatTimeSpan(Z$1-LOOKUP(2,1/(F49:ZZ49&lt;&gt;""),F49:ZZ49)),"")</f>
        <v/>
      </c>
      <c r="F49" s="6"/>
      <c r="G49" s="6"/>
      <c r="H49" s="6"/>
      <c r="I49" s="6"/>
    </row>
    <row r="50" spans="1:9" s="8" customFormat="1" x14ac:dyDescent="0.2">
      <c r="A50" s="18"/>
      <c r="B50" s="5" t="b">
        <v>0</v>
      </c>
      <c r="C50" s="14" t="s">
        <v>29</v>
      </c>
      <c r="D50"/>
      <c r="E50" s="26" t="str">
        <f ca="1">IFERROR(FormatTimeSpan(NOW()-LOOKUP(2,1/(F50:ZZ50&lt;&gt;""),F50:ZZ50)),"")</f>
        <v/>
      </c>
      <c r="F50" s="6"/>
      <c r="G50" s="6"/>
      <c r="H50" s="6"/>
      <c r="I50" s="6"/>
    </row>
    <row r="51" spans="1:9" s="8" customFormat="1" x14ac:dyDescent="0.2">
      <c r="A51" s="18"/>
      <c r="B51" s="5" t="b">
        <v>0</v>
      </c>
      <c r="C51" s="14"/>
      <c r="D51"/>
      <c r="E51" s="26" t="str">
        <f ca="1">IFERROR(FormatTimeSpan(NOW()-LOOKUP(2,1/(F51:ZZ51&lt;&gt;""),F51:ZZ51)),"")</f>
        <v/>
      </c>
      <c r="F51" s="6"/>
      <c r="G51" s="6"/>
      <c r="H51" s="6"/>
      <c r="I51" s="6"/>
    </row>
    <row r="52" spans="1:9" s="8" customFormat="1" x14ac:dyDescent="0.2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  <c r="G52" s="6"/>
      <c r="H52" s="6"/>
      <c r="I52" s="6"/>
    </row>
    <row r="53" spans="1:9" s="8" customFormat="1" x14ac:dyDescent="0.2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  <c r="G53" s="6"/>
      <c r="H53" s="6"/>
    </row>
    <row r="54" spans="1:9" s="8" customFormat="1" x14ac:dyDescent="0.2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  <c r="G54" s="6"/>
      <c r="H54" s="6"/>
    </row>
    <row r="55" spans="1:9" s="8" customFormat="1" x14ac:dyDescent="0.2">
      <c r="A55" s="18"/>
      <c r="B55" s="5" t="b">
        <v>0</v>
      </c>
      <c r="C55" s="20" t="s">
        <v>21</v>
      </c>
      <c r="D55"/>
      <c r="E55" s="26" t="str">
        <f ca="1">IFERROR(FormatTimeSpan(NOW()-LOOKUP(2,1/(F55:ZZ55&lt;&gt;""),F55:ZZ55)),"")</f>
        <v/>
      </c>
      <c r="F55" s="6"/>
      <c r="G55" s="6"/>
    </row>
    <row r="56" spans="1:9" s="8" customFormat="1" x14ac:dyDescent="0.2">
      <c r="A56" s="18"/>
      <c r="B56" s="5" t="b">
        <v>0</v>
      </c>
      <c r="C56" s="21" t="s">
        <v>41</v>
      </c>
      <c r="D56"/>
      <c r="E56" s="28" t="str">
        <f ca="1">IFERROR(FormatTimeSpan(NOW()-LOOKUP(2,1/(F56:ZZ56&lt;&gt;""),F56:ZZ56)),"")</f>
        <v/>
      </c>
      <c r="F56" s="6"/>
    </row>
    <row r="57" spans="1:9" s="8" customFormat="1" x14ac:dyDescent="0.2">
      <c r="A57" s="18"/>
      <c r="B57" s="5" t="b">
        <v>0</v>
      </c>
      <c r="C57" s="21" t="s">
        <v>42</v>
      </c>
      <c r="D57"/>
      <c r="E57" s="28" t="str">
        <f ca="1">IFERROR(FormatTimeSpan(NOW()-LOOKUP(2,1/(F57:ZZ57&lt;&gt;""),F57:ZZ57)),"")</f>
        <v/>
      </c>
      <c r="F57" s="6"/>
    </row>
    <row r="58" spans="1:9" s="8" customFormat="1" x14ac:dyDescent="0.2">
      <c r="A58" s="18"/>
      <c r="B58" s="5" t="b">
        <v>0</v>
      </c>
      <c r="C58" s="21" t="s">
        <v>43</v>
      </c>
      <c r="D58"/>
      <c r="E58" s="28" t="str">
        <f ca="1">IFERROR(FormatTimeSpan(NOW()-LOOKUP(2,1/(F58:ZZ58&lt;&gt;""),F58:ZZ58)),"")</f>
        <v/>
      </c>
      <c r="F58" s="6"/>
    </row>
    <row r="59" spans="1:9" s="8" customFormat="1" x14ac:dyDescent="0.2">
      <c r="A59" s="18"/>
      <c r="B59" s="5" t="b">
        <v>0</v>
      </c>
      <c r="C59" s="14"/>
      <c r="D59"/>
      <c r="E59" s="28" t="str">
        <f ca="1">IFERROR(FormatTimeSpan(NOW()-LOOKUP(2,1/(F59:ZZ59&lt;&gt;""),F59:ZZ59)),"")</f>
        <v/>
      </c>
      <c r="F59" s="6"/>
    </row>
    <row r="60" spans="1:9" s="8" customFormat="1" x14ac:dyDescent="0.2">
      <c r="A60" s="18"/>
      <c r="B60" s="5" t="b">
        <v>0</v>
      </c>
      <c r="C60" s="14"/>
      <c r="D60"/>
      <c r="E60" s="28" t="str">
        <f ca="1">IFERROR(FormatTimeSpan(NOW()-LOOKUP(2,1/(F60:ZZ60&lt;&gt;""),F60:ZZ60)),"")</f>
        <v/>
      </c>
      <c r="F60" s="6"/>
    </row>
    <row r="61" spans="1:9" s="8" customFormat="1" x14ac:dyDescent="0.2">
      <c r="A61" s="18"/>
      <c r="B61" s="5" t="b">
        <v>0</v>
      </c>
      <c r="C61" s="14"/>
      <c r="D61"/>
      <c r="E61" s="28" t="str">
        <f ca="1">IFERROR(FormatTimeSpan(NOW()-LOOKUP(2,1/(F61:ZZ61&lt;&gt;""),F61:ZZ61)),"")</f>
        <v/>
      </c>
      <c r="F61" s="6"/>
    </row>
    <row r="62" spans="1:9" s="8" customFormat="1" x14ac:dyDescent="0.2">
      <c r="A62" s="18"/>
      <c r="B62" s="5" t="b">
        <v>0</v>
      </c>
      <c r="C62" s="14"/>
      <c r="D62"/>
      <c r="E62" s="28" t="str">
        <f ca="1">IFERROR(FormatTimeSpan(NOW()-LOOKUP(2,1/(F62:ZZ62&lt;&gt;""),F62:ZZ62)),"")</f>
        <v/>
      </c>
      <c r="F62" s="6"/>
      <c r="G62" s="6"/>
    </row>
    <row r="63" spans="1:9" s="8" customFormat="1" x14ac:dyDescent="0.2">
      <c r="A63" s="18"/>
      <c r="B63" s="5" t="b">
        <v>0</v>
      </c>
      <c r="C63" s="14"/>
      <c r="D63"/>
      <c r="E63" s="28" t="str">
        <f ca="1">IFERROR(FormatTimeSpan(NOW()-LOOKUP(2,1/(F63:ZZ63&lt;&gt;""),F63:ZZ63)),"")</f>
        <v/>
      </c>
      <c r="F63" s="6"/>
    </row>
    <row r="64" spans="1:9" s="8" customFormat="1" x14ac:dyDescent="0.2">
      <c r="A64" s="18"/>
      <c r="B64" s="5" t="b">
        <v>0</v>
      </c>
      <c r="C64" s="14"/>
      <c r="D64"/>
      <c r="E64" s="28" t="str">
        <f ca="1">IFERROR(FormatTimeSpan(NOW()-LOOKUP(2,1/(F64:ZZ64&lt;&gt;""),F64:ZZ64)),"")</f>
        <v/>
      </c>
      <c r="F64" s="6"/>
      <c r="G64" s="6"/>
    </row>
    <row r="65" spans="1:10" s="8" customFormat="1" x14ac:dyDescent="0.2">
      <c r="A65" s="18"/>
      <c r="B65" s="5" t="b">
        <v>0</v>
      </c>
      <c r="C65" s="14"/>
      <c r="D65"/>
      <c r="E65" s="28" t="str">
        <f ca="1">IFERROR(FormatTimeSpan(NOW()-LOOKUP(2,1/(F65:ZZ65&lt;&gt;""),F65:ZZ65)),"")</f>
        <v/>
      </c>
      <c r="F65" s="6"/>
    </row>
    <row r="66" spans="1:10" s="8" customFormat="1" x14ac:dyDescent="0.2">
      <c r="A66" s="18"/>
      <c r="B66" s="5" t="b">
        <v>0</v>
      </c>
      <c r="C66" s="14"/>
      <c r="D66"/>
      <c r="E66" s="28" t="str">
        <f ca="1">IFERROR(FormatTimeSpan(NOW()-LOOKUP(2,1/(F66:ZZ66&lt;&gt;""),F66:ZZ66)),"")</f>
        <v/>
      </c>
      <c r="F66" s="6"/>
      <c r="G66" s="6"/>
      <c r="H66" s="6"/>
      <c r="I66" s="6"/>
      <c r="J66" s="6"/>
    </row>
    <row r="67" spans="1:10" s="8" customFormat="1" x14ac:dyDescent="0.2">
      <c r="A67" s="18"/>
      <c r="B67" s="5" t="b">
        <v>0</v>
      </c>
      <c r="C67" s="14"/>
      <c r="D67"/>
      <c r="E67" s="28" t="str">
        <f ca="1">IFERROR(FormatTimeSpan(NOW()-LOOKUP(2,1/(F67:ZZ67&lt;&gt;""),F67:ZZ67)),"")</f>
        <v/>
      </c>
      <c r="F67" s="6"/>
      <c r="G67" s="6"/>
      <c r="H67" s="6"/>
      <c r="I67" s="6"/>
      <c r="J67" s="6"/>
    </row>
    <row r="68" spans="1:10" s="8" customFormat="1" x14ac:dyDescent="0.2">
      <c r="A68" s="18"/>
      <c r="B68" s="5" t="b">
        <v>0</v>
      </c>
      <c r="C68" s="14"/>
      <c r="D68"/>
      <c r="E68" s="28" t="str">
        <f ca="1">IFERROR(FormatTimeSpan(NOW()-LOOKUP(2,1/(F68:ZZ68&lt;&gt;""),F68:ZZ68)),"")</f>
        <v/>
      </c>
      <c r="F68" s="6"/>
      <c r="G68" s="6"/>
      <c r="H68" s="6"/>
      <c r="I68" s="6"/>
    </row>
    <row r="69" spans="1:10" s="8" customFormat="1" x14ac:dyDescent="0.2">
      <c r="A69" s="18"/>
      <c r="B69" s="5" t="b">
        <v>0</v>
      </c>
      <c r="C69" s="14"/>
      <c r="D69"/>
      <c r="E69" s="28" t="str">
        <f ca="1">IFERROR(FormatTimeSpan(NOW()-LOOKUP(2,1/(F69:ZZ69&lt;&gt;""),F69:ZZ69)),"")</f>
        <v/>
      </c>
      <c r="F69" s="6"/>
      <c r="G69" s="6"/>
    </row>
    <row r="70" spans="1:10" s="8" customFormat="1" x14ac:dyDescent="0.2">
      <c r="A70" s="18"/>
      <c r="B70" s="5" t="b">
        <v>0</v>
      </c>
      <c r="C70" s="14"/>
      <c r="D70"/>
      <c r="E70" s="28" t="str">
        <f ca="1">IFERROR(FormatTimeSpan(NOW()-LOOKUP(2,1/(F70:ZZ70&lt;&gt;""),F70:ZZ70)),"")</f>
        <v/>
      </c>
      <c r="F70" s="6"/>
    </row>
    <row r="71" spans="1:10" s="8" customFormat="1" x14ac:dyDescent="0.2">
      <c r="A71" s="18"/>
      <c r="B71" s="5" t="b">
        <v>0</v>
      </c>
      <c r="C71" s="14"/>
      <c r="D71"/>
      <c r="E71" s="28" t="str">
        <f ca="1">IFERROR(FormatTimeSpan(NOW()-LOOKUP(2,1/(F71:ZZ71&lt;&gt;""),F71:ZZ71)),"")</f>
        <v/>
      </c>
      <c r="F71" s="6"/>
    </row>
    <row r="72" spans="1:10" s="8" customFormat="1" x14ac:dyDescent="0.2">
      <c r="A72" s="18"/>
      <c r="B72" s="5" t="b">
        <v>0</v>
      </c>
      <c r="C72" s="14"/>
      <c r="D72"/>
      <c r="E72" s="28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">
      <c r="A73" s="18"/>
      <c r="B73" s="5" t="b">
        <v>0</v>
      </c>
      <c r="C73" s="14"/>
      <c r="D73"/>
      <c r="E73" s="28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">
      <c r="A74" s="18"/>
      <c r="B74" s="5" t="b">
        <v>0</v>
      </c>
      <c r="C74" s="14"/>
      <c r="D74"/>
      <c r="E74" s="28" t="str">
        <f ca="1">IFERROR(FormatTimeSpan(NOW()-LOOKUP(2,1/(F74:ZZ74&lt;&gt;""),F74:ZZ74)),"")</f>
        <v/>
      </c>
      <c r="F74" s="6"/>
      <c r="G74" s="6"/>
      <c r="H74" s="6"/>
      <c r="I74" s="6"/>
    </row>
    <row r="75" spans="1:10" s="8" customFormat="1" x14ac:dyDescent="0.2">
      <c r="A75" s="18"/>
      <c r="B75" s="5" t="b">
        <v>0</v>
      </c>
      <c r="C75" s="14"/>
      <c r="D75"/>
      <c r="E75" s="28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">
      <c r="A76" s="18"/>
      <c r="B76" s="5" t="b">
        <v>0</v>
      </c>
      <c r="C76" s="14"/>
      <c r="D76"/>
      <c r="E76" s="28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">
      <c r="A77" s="18"/>
      <c r="B77" s="5" t="b">
        <v>0</v>
      </c>
      <c r="C77" s="14"/>
      <c r="D77"/>
      <c r="E77" s="28" t="str">
        <f ca="1">IFERROR(FormatTimeSpan(NOW()-LOOKUP(2,1/(F77:ZZ77&lt;&gt;""),F77:ZZ77)),"")</f>
        <v/>
      </c>
      <c r="F77" s="6"/>
      <c r="G77" s="6"/>
      <c r="H77" s="6"/>
    </row>
    <row r="78" spans="1:10" s="8" customFormat="1" x14ac:dyDescent="0.2">
      <c r="A78" s="18"/>
      <c r="B78" s="5" t="b">
        <v>0</v>
      </c>
      <c r="C78" s="14"/>
      <c r="D78"/>
      <c r="E78" s="28" t="str">
        <f ca="1">IFERROR(FormatTimeSpan(NOW()-LOOKUP(2,1/(F78:ZZ78&lt;&gt;""),F78:ZZ78)),"")</f>
        <v/>
      </c>
      <c r="F78" s="6"/>
      <c r="G78" s="6"/>
      <c r="H78" s="6"/>
    </row>
    <row r="79" spans="1:10" s="8" customFormat="1" x14ac:dyDescent="0.2">
      <c r="A79" s="18"/>
      <c r="B79" s="5" t="b">
        <v>0</v>
      </c>
      <c r="C79" s="14"/>
      <c r="D79"/>
      <c r="E79" s="28" t="str">
        <f ca="1">IFERROR(FormatTimeSpan(NOW()-LOOKUP(2,1/(F79:ZZ79&lt;&gt;""),F79:ZZ79)),"")</f>
        <v/>
      </c>
      <c r="F79" s="6"/>
    </row>
    <row r="80" spans="1:10" s="8" customFormat="1" x14ac:dyDescent="0.2">
      <c r="A80" s="18"/>
      <c r="B80" s="5" t="b">
        <v>0</v>
      </c>
      <c r="C80" s="14"/>
      <c r="D80"/>
      <c r="E80" s="28" t="str">
        <f ca="1">IFERROR(FormatTimeSpan(NOW()-LOOKUP(2,1/(F80:ZZ80&lt;&gt;""),F80:ZZ80)),"")</f>
        <v/>
      </c>
      <c r="F80" s="6"/>
    </row>
    <row r="81" spans="1:8" s="8" customFormat="1" x14ac:dyDescent="0.2">
      <c r="A81" s="18"/>
      <c r="B81" s="5" t="b">
        <v>0</v>
      </c>
      <c r="C81" s="14"/>
      <c r="D81"/>
      <c r="E81" s="28" t="str">
        <f ca="1">IFERROR(FormatTimeSpan(NOW()-LOOKUP(2,1/(F81:ZZ81&lt;&gt;""),F81:ZZ81)),"")</f>
        <v/>
      </c>
      <c r="F81" s="6"/>
    </row>
    <row r="82" spans="1:8" s="8" customFormat="1" x14ac:dyDescent="0.2">
      <c r="A82" s="18"/>
      <c r="B82" s="5" t="b">
        <v>0</v>
      </c>
      <c r="C82" s="14"/>
      <c r="D82"/>
      <c r="E82" s="28" t="str">
        <f ca="1">IFERROR(FormatTimeSpan(NOW()-LOOKUP(2,1/(F82:ZZ82&lt;&gt;""),F82:ZZ82)),"")</f>
        <v/>
      </c>
      <c r="F82" s="6"/>
    </row>
    <row r="83" spans="1:8" s="8" customFormat="1" x14ac:dyDescent="0.2">
      <c r="A83" s="18"/>
      <c r="B83" s="5" t="b">
        <v>0</v>
      </c>
      <c r="C83" s="14"/>
      <c r="D83"/>
      <c r="E83" s="28" t="str">
        <f ca="1">IFERROR(FormatTimeSpan(NOW()-LOOKUP(2,1/(F83:ZZ83&lt;&gt;""),F83:ZZ83)),"")</f>
        <v/>
      </c>
      <c r="F83" s="6"/>
    </row>
    <row r="84" spans="1:8" s="8" customFormat="1" x14ac:dyDescent="0.2">
      <c r="A84" s="18"/>
      <c r="B84" s="5" t="b">
        <v>0</v>
      </c>
      <c r="C84" s="14"/>
      <c r="D84"/>
      <c r="E84" s="28" t="str">
        <f ca="1">IFERROR(FormatTimeSpan(NOW()-LOOKUP(2,1/(F84:ZZ84&lt;&gt;""),F84:ZZ84)),"")</f>
        <v/>
      </c>
      <c r="F84" s="6"/>
    </row>
    <row r="85" spans="1:8" s="8" customFormat="1" x14ac:dyDescent="0.2">
      <c r="A85" s="18"/>
      <c r="B85" s="5" t="b">
        <v>0</v>
      </c>
      <c r="C85" s="14"/>
      <c r="D85"/>
      <c r="E85" s="28" t="str">
        <f ca="1">IFERROR(FormatTimeSpan(NOW()-LOOKUP(2,1/(F85:ZZ85&lt;&gt;""),F85:ZZ85)),"")</f>
        <v/>
      </c>
      <c r="F85" s="6"/>
    </row>
    <row r="86" spans="1:8" s="8" customFormat="1" x14ac:dyDescent="0.2">
      <c r="A86" s="18"/>
      <c r="B86" s="5" t="b">
        <v>0</v>
      </c>
      <c r="C86" s="14"/>
      <c r="D86"/>
      <c r="E86" s="28" t="str">
        <f ca="1">IFERROR(FormatTimeSpan(NOW()-LOOKUP(2,1/(F86:ZZ86&lt;&gt;""),F86:ZZ86)),"")</f>
        <v/>
      </c>
      <c r="F86" s="6"/>
      <c r="G86" s="6"/>
      <c r="H86" s="6"/>
    </row>
    <row r="87" spans="1:8" s="8" customFormat="1" x14ac:dyDescent="0.2">
      <c r="A87" s="18"/>
      <c r="B87" s="5" t="b">
        <v>0</v>
      </c>
      <c r="C87" s="14"/>
      <c r="D87"/>
      <c r="E87" s="28" t="str">
        <f ca="1">IFERROR(FormatTimeSpan(NOW()-LOOKUP(2,1/(F87:ZZ87&lt;&gt;""),F87:ZZ87)),"")</f>
        <v/>
      </c>
    </row>
    <row r="88" spans="1:8" s="8" customFormat="1" x14ac:dyDescent="0.2">
      <c r="A88" s="18"/>
      <c r="B88" s="5" t="b">
        <v>0</v>
      </c>
      <c r="C88" s="14"/>
      <c r="D88"/>
      <c r="E88" s="28" t="str">
        <f ca="1">IFERROR(FormatTimeSpan(NOW()-LOOKUP(2,1/(F88:ZZ88&lt;&gt;""),F88:ZZ88)),"")</f>
        <v/>
      </c>
    </row>
    <row r="89" spans="1:8" s="8" customFormat="1" x14ac:dyDescent="0.2">
      <c r="A89" s="18"/>
      <c r="B89" s="5" t="b">
        <v>0</v>
      </c>
      <c r="C89" s="14"/>
      <c r="D89"/>
      <c r="E89" s="28" t="str">
        <f ca="1">IFERROR(FormatTimeSpan(NOW()-LOOKUP(2,1/(F89:ZZ89&lt;&gt;""),F89:ZZ89)),"")</f>
        <v/>
      </c>
    </row>
    <row r="90" spans="1:8" s="8" customFormat="1" x14ac:dyDescent="0.2">
      <c r="A90" s="18"/>
      <c r="B90" s="5" t="b">
        <v>0</v>
      </c>
      <c r="C90" s="14"/>
      <c r="D90"/>
      <c r="E90" s="28" t="str">
        <f ca="1">IFERROR(FormatTimeSpan(NOW()-LOOKUP(2,1/(F90:ZZ90&lt;&gt;""),F90:ZZ90)),"")</f>
        <v/>
      </c>
    </row>
    <row r="91" spans="1:8" s="8" customFormat="1" x14ac:dyDescent="0.2">
      <c r="A91" s="18"/>
      <c r="B91" s="5" t="b">
        <v>0</v>
      </c>
      <c r="C91" s="14"/>
      <c r="D91"/>
      <c r="E91" s="28" t="str">
        <f ca="1">IFERROR(FormatTimeSpan(NOW()-LOOKUP(2,1/(F91:ZZ91&lt;&gt;""),F91:ZZ91)),"")</f>
        <v/>
      </c>
    </row>
    <row r="92" spans="1:8" s="8" customFormat="1" x14ac:dyDescent="0.2">
      <c r="A92" s="18"/>
      <c r="B92" s="5" t="b">
        <v>0</v>
      </c>
      <c r="C92" s="14"/>
      <c r="D92"/>
      <c r="E92" s="28" t="str">
        <f ca="1">IFERROR(FormatTimeSpan(NOW()-LOOKUP(2,1/(F92:ZZ92&lt;&gt;""),F92:ZZ92)),"")</f>
        <v/>
      </c>
    </row>
    <row r="93" spans="1:8" s="8" customFormat="1" x14ac:dyDescent="0.2">
      <c r="A93" s="18"/>
      <c r="B93" s="5" t="b">
        <v>0</v>
      </c>
      <c r="C93" s="14"/>
      <c r="D93"/>
      <c r="E93" s="28" t="str">
        <f ca="1">IFERROR(FormatTimeSpan(NOW()-LOOKUP(2,1/(F93:ZZ93&lt;&gt;""),F93:ZZ93)),"")</f>
        <v/>
      </c>
    </row>
    <row r="94" spans="1:8" s="8" customFormat="1" x14ac:dyDescent="0.2">
      <c r="A94" s="18"/>
      <c r="B94" s="5" t="b">
        <v>0</v>
      </c>
      <c r="C94" s="14"/>
      <c r="D94"/>
      <c r="E94" s="28" t="str">
        <f ca="1">IFERROR(FormatTimeSpan(NOW()-LOOKUP(2,1/(F94:ZZ94&lt;&gt;""),F94:ZZ94)),"")</f>
        <v/>
      </c>
    </row>
    <row r="95" spans="1:8" s="8" customFormat="1" x14ac:dyDescent="0.2">
      <c r="A95" s="18"/>
      <c r="B95" s="5" t="b">
        <v>0</v>
      </c>
      <c r="C95" s="14"/>
      <c r="D95"/>
      <c r="E95" s="28" t="str">
        <f ca="1">IFERROR(FormatTimeSpan(NOW()-LOOKUP(2,1/(F95:ZZ95&lt;&gt;""),F95:ZZ95)),"")</f>
        <v/>
      </c>
    </row>
    <row r="96" spans="1:8" s="8" customFormat="1" x14ac:dyDescent="0.2">
      <c r="A96" s="18"/>
      <c r="B96" s="5" t="b">
        <v>0</v>
      </c>
      <c r="C96" s="14"/>
      <c r="D96"/>
      <c r="E96" s="28" t="str">
        <f ca="1">IFERROR(FormatTimeSpan(NOW()-LOOKUP(2,1/(F96:ZZ96&lt;&gt;""),F96:ZZ96)),"")</f>
        <v/>
      </c>
    </row>
    <row r="97" spans="1:5" s="8" customFormat="1" x14ac:dyDescent="0.2">
      <c r="A97" s="18"/>
      <c r="B97" s="5" t="b">
        <v>0</v>
      </c>
      <c r="C97" s="14"/>
      <c r="D97"/>
      <c r="E97" s="28" t="str">
        <f ca="1">IFERROR(FormatTimeSpan(NOW()-LOOKUP(2,1/(F97:ZZ97&lt;&gt;""),F97:ZZ97)),"")</f>
        <v/>
      </c>
    </row>
    <row r="98" spans="1:5" s="8" customFormat="1" x14ac:dyDescent="0.2">
      <c r="A98" s="18"/>
      <c r="B98" s="5" t="b">
        <v>0</v>
      </c>
      <c r="C98" s="14"/>
      <c r="D98"/>
      <c r="E98" s="28" t="str">
        <f ca="1">IFERROR(FormatTimeSpan(NOW()-LOOKUP(2,1/(F98:ZZ98&lt;&gt;""),F98:ZZ98)),"")</f>
        <v/>
      </c>
    </row>
    <row r="99" spans="1:5" s="8" customFormat="1" x14ac:dyDescent="0.2">
      <c r="A99" s="18"/>
      <c r="B99" s="5" t="b">
        <v>0</v>
      </c>
      <c r="C99" s="14"/>
      <c r="D99"/>
      <c r="E99" s="28" t="str">
        <f ca="1">IFERROR(FormatTimeSpan(NOW()-LOOKUP(2,1/(F99:ZZ99&lt;&gt;""),F99:ZZ99)),"")</f>
        <v/>
      </c>
    </row>
    <row r="100" spans="1:5" s="8" customFormat="1" x14ac:dyDescent="0.2">
      <c r="A100" s="18"/>
      <c r="B100" s="5" t="b">
        <v>0</v>
      </c>
      <c r="C100" s="14"/>
      <c r="D100"/>
      <c r="E100" s="28" t="str">
        <f ca="1">IFERROR(FormatTimeSpan(NOW()-LOOKUP(2,1/(F100:ZZ100&lt;&gt;""),F100:ZZ100)),"")</f>
        <v/>
      </c>
    </row>
    <row r="101" spans="1:5" s="8" customFormat="1" x14ac:dyDescent="0.2">
      <c r="A101" s="18"/>
      <c r="B101" s="5" t="b">
        <v>0</v>
      </c>
      <c r="C101" s="14"/>
      <c r="D101"/>
      <c r="E101" s="28" t="str">
        <f ca="1">IFERROR(FormatTimeSpan(NOW()-LOOKUP(2,1/(F101:ZZ101&lt;&gt;""),F101:ZZ101)),"")</f>
        <v/>
      </c>
    </row>
    <row r="102" spans="1:5" s="8" customFormat="1" x14ac:dyDescent="0.2">
      <c r="A102" s="18"/>
      <c r="B102" s="5" t="b">
        <v>0</v>
      </c>
      <c r="C102" s="14"/>
      <c r="D102"/>
      <c r="E102" s="28" t="str">
        <f ca="1">IFERROR(FormatTimeSpan(NOW()-LOOKUP(2,1/(F102:ZZ102&lt;&gt;""),F102:ZZ102)),"")</f>
        <v/>
      </c>
    </row>
    <row r="103" spans="1:5" s="8" customFormat="1" x14ac:dyDescent="0.2">
      <c r="A103" s="18"/>
      <c r="B103" s="5" t="b">
        <v>0</v>
      </c>
      <c r="C103" s="14"/>
      <c r="D103"/>
      <c r="E103" s="28" t="str">
        <f ca="1">IFERROR(FormatTimeSpan(NOW()-LOOKUP(2,1/(F103:ZZ103&lt;&gt;""),F103:ZZ103)),"")</f>
        <v/>
      </c>
    </row>
    <row r="104" spans="1:5" s="8" customFormat="1" x14ac:dyDescent="0.2">
      <c r="A104" s="18"/>
      <c r="B104" s="5" t="b">
        <v>0</v>
      </c>
      <c r="C104" s="14"/>
      <c r="D104"/>
      <c r="E104" s="28" t="str">
        <f ca="1">IFERROR(FormatTimeSpan(NOW()-LOOKUP(2,1/(F104:ZZ104&lt;&gt;""),F104:ZZ104)),"")</f>
        <v/>
      </c>
    </row>
    <row r="105" spans="1:5" s="8" customFormat="1" x14ac:dyDescent="0.2">
      <c r="A105" s="18"/>
      <c r="B105" s="5" t="b">
        <v>0</v>
      </c>
      <c r="C105" s="14"/>
      <c r="D105"/>
      <c r="E105" s="28" t="str">
        <f ca="1">IFERROR(FormatTimeSpan(NOW()-LOOKUP(2,1/(F105:ZZ105&lt;&gt;""),F105:ZZ105)),"")</f>
        <v/>
      </c>
    </row>
    <row r="106" spans="1:5" s="8" customFormat="1" x14ac:dyDescent="0.2">
      <c r="A106" s="18"/>
      <c r="B106" s="5" t="b">
        <v>0</v>
      </c>
      <c r="C106" s="14"/>
      <c r="D106"/>
      <c r="E106" s="28" t="str">
        <f ca="1">IFERROR(FormatTimeSpan(NOW()-LOOKUP(2,1/(F106:ZZ106&lt;&gt;""),F106:ZZ106)),"")</f>
        <v/>
      </c>
    </row>
    <row r="107" spans="1:5" s="8" customFormat="1" x14ac:dyDescent="0.2">
      <c r="A107" s="18"/>
      <c r="B107" s="5" t="b">
        <v>0</v>
      </c>
      <c r="C107" s="14"/>
      <c r="D107"/>
      <c r="E107" s="28" t="str">
        <f ca="1">IFERROR(FormatTimeSpan(NOW()-LOOKUP(2,1/(F107:ZZ107&lt;&gt;""),F107:ZZ107)),"")</f>
        <v/>
      </c>
    </row>
    <row r="108" spans="1:5" s="8" customFormat="1" x14ac:dyDescent="0.2">
      <c r="A108" s="18"/>
      <c r="B108" s="5" t="b">
        <v>0</v>
      </c>
      <c r="C108" s="14"/>
      <c r="D108"/>
      <c r="E108" s="28" t="str">
        <f ca="1">IFERROR(FormatTimeSpan(NOW()-LOOKUP(2,1/(F108:ZZ108&lt;&gt;""),F108:ZZ108)),"")</f>
        <v/>
      </c>
    </row>
    <row r="109" spans="1:5" s="8" customFormat="1" x14ac:dyDescent="0.2">
      <c r="A109" s="18"/>
      <c r="B109" s="5" t="b">
        <v>0</v>
      </c>
      <c r="C109" s="14"/>
      <c r="D109"/>
      <c r="E109" s="28" t="str">
        <f ca="1">IFERROR(FormatTimeSpan(NOW()-LOOKUP(2,1/(F109:ZZ109&lt;&gt;""),F109:ZZ109)),"")</f>
        <v/>
      </c>
    </row>
    <row r="110" spans="1:5" s="8" customFormat="1" x14ac:dyDescent="0.2">
      <c r="A110" s="18"/>
      <c r="B110" s="5" t="b">
        <v>0</v>
      </c>
      <c r="C110" s="14"/>
      <c r="D110"/>
      <c r="E110" s="28" t="str">
        <f ca="1">IFERROR(FormatTimeSpan(NOW()-LOOKUP(2,1/(F110:ZZ110&lt;&gt;""),F110:ZZ110)),"")</f>
        <v/>
      </c>
    </row>
    <row r="111" spans="1:5" s="8" customFormat="1" x14ac:dyDescent="0.2">
      <c r="A111" s="18"/>
      <c r="B111" s="5" t="b">
        <v>0</v>
      </c>
      <c r="C111" s="14"/>
      <c r="D111"/>
      <c r="E111" s="28" t="str">
        <f ca="1">IFERROR(FormatTimeSpan(NOW()-LOOKUP(2,1/(F111:ZZ111&lt;&gt;""),F111:ZZ111)),"")</f>
        <v/>
      </c>
    </row>
    <row r="112" spans="1:5" s="8" customFormat="1" x14ac:dyDescent="0.2">
      <c r="A112" s="18"/>
      <c r="B112" s="5" t="b">
        <v>0</v>
      </c>
      <c r="C112" s="14"/>
      <c r="D112"/>
      <c r="E112" s="28" t="str">
        <f ca="1">IFERROR(FormatTimeSpan(NOW()-LOOKUP(2,1/(F112:ZZ112&lt;&gt;""),F112:ZZ112)),"")</f>
        <v/>
      </c>
    </row>
    <row r="113" spans="1:5" s="8" customFormat="1" x14ac:dyDescent="0.2">
      <c r="A113" s="18"/>
      <c r="B113" s="5" t="b">
        <v>0</v>
      </c>
      <c r="C113" s="14"/>
      <c r="D113"/>
      <c r="E113" s="28" t="str">
        <f ca="1">IFERROR(FormatTimeSpan(NOW()-LOOKUP(2,1/(F113:ZZ113&lt;&gt;""),F113:ZZ113)),"")</f>
        <v/>
      </c>
    </row>
    <row r="114" spans="1:5" s="8" customFormat="1" x14ac:dyDescent="0.2">
      <c r="A114" s="18"/>
      <c r="B114" s="5" t="b">
        <v>0</v>
      </c>
      <c r="C114" s="14"/>
      <c r="D114"/>
      <c r="E114" s="28" t="str">
        <f ca="1">IFERROR(FormatTimeSpan(NOW()-LOOKUP(2,1/(F114:ZZ114&lt;&gt;""),F114:ZZ114)),"")</f>
        <v/>
      </c>
    </row>
    <row r="115" spans="1:5" s="8" customFormat="1" x14ac:dyDescent="0.2">
      <c r="A115" s="18"/>
      <c r="B115" s="5" t="b">
        <v>0</v>
      </c>
      <c r="C115" s="14"/>
      <c r="D115"/>
      <c r="E115" s="28" t="str">
        <f ca="1">IFERROR(FormatTimeSpan(NOW()-LOOKUP(2,1/(F115:ZZ115&lt;&gt;""),F115:ZZ115)),"")</f>
        <v/>
      </c>
    </row>
    <row r="116" spans="1:5" s="1" customFormat="1" x14ac:dyDescent="0.2">
      <c r="A116" s="19"/>
      <c r="C116" s="16"/>
      <c r="D116"/>
      <c r="E116" s="29"/>
    </row>
    <row r="117" spans="1:5" s="1" customFormat="1" x14ac:dyDescent="0.2">
      <c r="A117" s="19"/>
      <c r="C117" s="16"/>
      <c r="E117" s="29"/>
    </row>
    <row r="118" spans="1:5" s="1" customFormat="1" x14ac:dyDescent="0.2">
      <c r="A118" s="19"/>
      <c r="C118" s="16"/>
      <c r="E118" s="29"/>
    </row>
    <row r="119" spans="1:5" x14ac:dyDescent="0.2">
      <c r="E119" s="29"/>
    </row>
    <row r="120" spans="1:5" x14ac:dyDescent="0.2">
      <c r="E120" s="29"/>
    </row>
    <row r="121" spans="1:5" x14ac:dyDescent="0.2">
      <c r="E121" s="29"/>
    </row>
    <row r="122" spans="1:5" x14ac:dyDescent="0.2">
      <c r="E122" s="29"/>
    </row>
    <row r="123" spans="1:5" x14ac:dyDescent="0.2">
      <c r="E123" s="29"/>
    </row>
    <row r="124" spans="1:5" x14ac:dyDescent="0.2">
      <c r="E124" s="29"/>
    </row>
    <row r="125" spans="1:5" x14ac:dyDescent="0.2">
      <c r="E125" s="29"/>
    </row>
    <row r="126" spans="1:5" x14ac:dyDescent="0.2">
      <c r="E126" s="29"/>
    </row>
    <row r="127" spans="1:5" x14ac:dyDescent="0.2">
      <c r="E127" s="29"/>
    </row>
    <row r="128" spans="1:5" x14ac:dyDescent="0.2">
      <c r="E128" s="29"/>
    </row>
    <row r="129" spans="5:5" x14ac:dyDescent="0.2">
      <c r="E129" s="29"/>
    </row>
    <row r="130" spans="5:5" x14ac:dyDescent="0.2">
      <c r="E130" s="29"/>
    </row>
    <row r="131" spans="5:5" x14ac:dyDescent="0.2">
      <c r="E131" s="29"/>
    </row>
    <row r="132" spans="5:5" x14ac:dyDescent="0.2">
      <c r="E132" s="29"/>
    </row>
    <row r="133" spans="5:5" x14ac:dyDescent="0.2">
      <c r="E133" s="29"/>
    </row>
    <row r="134" spans="5:5" x14ac:dyDescent="0.2">
      <c r="E134" s="29"/>
    </row>
    <row r="135" spans="5:5" x14ac:dyDescent="0.2">
      <c r="E135" s="29"/>
    </row>
    <row r="136" spans="5:5" x14ac:dyDescent="0.2">
      <c r="E136" s="29"/>
    </row>
    <row r="137" spans="5:5" x14ac:dyDescent="0.2">
      <c r="E137" s="29"/>
    </row>
    <row r="138" spans="5:5" x14ac:dyDescent="0.2">
      <c r="E138" s="29"/>
    </row>
    <row r="139" spans="5:5" x14ac:dyDescent="0.2">
      <c r="E139" s="29"/>
    </row>
    <row r="140" spans="5:5" x14ac:dyDescent="0.2">
      <c r="E140" s="29"/>
    </row>
    <row r="141" spans="5:5" x14ac:dyDescent="0.2">
      <c r="E141" s="29"/>
    </row>
    <row r="142" spans="5:5" x14ac:dyDescent="0.2">
      <c r="E142" s="29"/>
    </row>
    <row r="143" spans="5:5" x14ac:dyDescent="0.2">
      <c r="E143" s="29"/>
    </row>
    <row r="144" spans="5:5" x14ac:dyDescent="0.2">
      <c r="E144" s="29"/>
    </row>
    <row r="145" spans="5:5" x14ac:dyDescent="0.2">
      <c r="E145" s="29"/>
    </row>
    <row r="146" spans="5:5" x14ac:dyDescent="0.2">
      <c r="E146" s="29"/>
    </row>
    <row r="147" spans="5:5" x14ac:dyDescent="0.2">
      <c r="E147" s="29"/>
    </row>
    <row r="148" spans="5:5" x14ac:dyDescent="0.2">
      <c r="E148" s="29"/>
    </row>
    <row r="149" spans="5:5" x14ac:dyDescent="0.2">
      <c r="E149" s="29"/>
    </row>
    <row r="150" spans="5:5" x14ac:dyDescent="0.2">
      <c r="E150" s="29"/>
    </row>
    <row r="151" spans="5:5" x14ac:dyDescent="0.2">
      <c r="E151" s="29"/>
    </row>
    <row r="152" spans="5:5" x14ac:dyDescent="0.2">
      <c r="E152" s="29"/>
    </row>
    <row r="153" spans="5:5" x14ac:dyDescent="0.2">
      <c r="E153" s="29"/>
    </row>
    <row r="154" spans="5:5" x14ac:dyDescent="0.2">
      <c r="E154" s="29"/>
    </row>
    <row r="155" spans="5:5" x14ac:dyDescent="0.2">
      <c r="E155" s="29"/>
    </row>
    <row r="156" spans="5:5" x14ac:dyDescent="0.2">
      <c r="E156" s="29"/>
    </row>
    <row r="157" spans="5:5" x14ac:dyDescent="0.2">
      <c r="E157" s="29"/>
    </row>
    <row r="158" spans="5:5" x14ac:dyDescent="0.2">
      <c r="E158" s="29"/>
    </row>
    <row r="159" spans="5:5" x14ac:dyDescent="0.2">
      <c r="E159" s="29"/>
    </row>
    <row r="160" spans="5:5" x14ac:dyDescent="0.2">
      <c r="E160" s="29"/>
    </row>
    <row r="161" spans="5:5" x14ac:dyDescent="0.2">
      <c r="E161" s="29"/>
    </row>
    <row r="162" spans="5:5" x14ac:dyDescent="0.2">
      <c r="E162" s="29"/>
    </row>
    <row r="163" spans="5:5" x14ac:dyDescent="0.2">
      <c r="E163" s="29"/>
    </row>
    <row r="164" spans="5:5" x14ac:dyDescent="0.2">
      <c r="E164" s="29"/>
    </row>
    <row r="165" spans="5:5" x14ac:dyDescent="0.2">
      <c r="E165" s="29"/>
    </row>
    <row r="166" spans="5:5" x14ac:dyDescent="0.2">
      <c r="E166" s="29"/>
    </row>
    <row r="167" spans="5:5" x14ac:dyDescent="0.2">
      <c r="E167" s="29"/>
    </row>
    <row r="168" spans="5:5" x14ac:dyDescent="0.2">
      <c r="E168" s="29"/>
    </row>
    <row r="169" spans="5:5" x14ac:dyDescent="0.2">
      <c r="E169" s="29"/>
    </row>
    <row r="170" spans="5:5" x14ac:dyDescent="0.2">
      <c r="E170" s="29"/>
    </row>
    <row r="171" spans="5:5" x14ac:dyDescent="0.2">
      <c r="E171" s="29"/>
    </row>
    <row r="172" spans="5:5" x14ac:dyDescent="0.2">
      <c r="E172" s="29"/>
    </row>
    <row r="173" spans="5:5" x14ac:dyDescent="0.2">
      <c r="E173" s="29"/>
    </row>
    <row r="174" spans="5:5" x14ac:dyDescent="0.2">
      <c r="E174" s="29"/>
    </row>
    <row r="175" spans="5:5" x14ac:dyDescent="0.2">
      <c r="E175" s="29"/>
    </row>
    <row r="176" spans="5:5" x14ac:dyDescent="0.2">
      <c r="E176" s="29"/>
    </row>
    <row r="177" spans="5:5" x14ac:dyDescent="0.2">
      <c r="E177" s="29"/>
    </row>
    <row r="178" spans="5:5" x14ac:dyDescent="0.2">
      <c r="E178" s="29"/>
    </row>
    <row r="179" spans="5:5" x14ac:dyDescent="0.2">
      <c r="E179" s="29"/>
    </row>
    <row r="180" spans="5:5" x14ac:dyDescent="0.2">
      <c r="E180" s="29"/>
    </row>
    <row r="181" spans="5:5" x14ac:dyDescent="0.2">
      <c r="E181" s="29"/>
    </row>
    <row r="182" spans="5:5" x14ac:dyDescent="0.2">
      <c r="E182" s="29"/>
    </row>
    <row r="183" spans="5:5" x14ac:dyDescent="0.2">
      <c r="E183" s="29"/>
    </row>
    <row r="184" spans="5:5" x14ac:dyDescent="0.2">
      <c r="E184" s="29"/>
    </row>
    <row r="185" spans="5:5" x14ac:dyDescent="0.2">
      <c r="E185" s="29"/>
    </row>
    <row r="186" spans="5:5" x14ac:dyDescent="0.2">
      <c r="E186" s="29"/>
    </row>
    <row r="187" spans="5:5" x14ac:dyDescent="0.2">
      <c r="E187" s="29"/>
    </row>
    <row r="188" spans="5:5" x14ac:dyDescent="0.2">
      <c r="E188" s="29"/>
    </row>
    <row r="189" spans="5:5" x14ac:dyDescent="0.2">
      <c r="E189" s="29"/>
    </row>
    <row r="190" spans="5:5" x14ac:dyDescent="0.2">
      <c r="E190" s="29"/>
    </row>
    <row r="191" spans="5:5" x14ac:dyDescent="0.2">
      <c r="E191" s="29"/>
    </row>
    <row r="192" spans="5:5" x14ac:dyDescent="0.2">
      <c r="E192" s="29"/>
    </row>
    <row r="193" spans="5:5" x14ac:dyDescent="0.2">
      <c r="E193" s="29"/>
    </row>
    <row r="194" spans="5:5" x14ac:dyDescent="0.2">
      <c r="E194" s="29"/>
    </row>
    <row r="195" spans="5:5" x14ac:dyDescent="0.2">
      <c r="E195" s="29"/>
    </row>
    <row r="196" spans="5:5" x14ac:dyDescent="0.2">
      <c r="E196" s="29"/>
    </row>
    <row r="197" spans="5:5" x14ac:dyDescent="0.2">
      <c r="E197" s="29"/>
    </row>
    <row r="198" spans="5:5" x14ac:dyDescent="0.2">
      <c r="E198" s="29"/>
    </row>
    <row r="199" spans="5:5" x14ac:dyDescent="0.2">
      <c r="E199" s="29"/>
    </row>
    <row r="200" spans="5:5" x14ac:dyDescent="0.2">
      <c r="E200" s="29"/>
    </row>
    <row r="201" spans="5:5" x14ac:dyDescent="0.2">
      <c r="E201" s="29"/>
    </row>
    <row r="202" spans="5:5" x14ac:dyDescent="0.2">
      <c r="E202" s="29"/>
    </row>
    <row r="203" spans="5:5" x14ac:dyDescent="0.2">
      <c r="E203" s="29"/>
    </row>
    <row r="204" spans="5:5" x14ac:dyDescent="0.2">
      <c r="E204" s="29"/>
    </row>
    <row r="205" spans="5:5" x14ac:dyDescent="0.2">
      <c r="E205" s="29"/>
    </row>
    <row r="206" spans="5:5" x14ac:dyDescent="0.2">
      <c r="E206" s="29"/>
    </row>
    <row r="207" spans="5:5" x14ac:dyDescent="0.2">
      <c r="E207" s="29"/>
    </row>
    <row r="208" spans="5:5" x14ac:dyDescent="0.2">
      <c r="E208" s="29"/>
    </row>
    <row r="209" spans="5:5" x14ac:dyDescent="0.2">
      <c r="E209" s="29"/>
    </row>
    <row r="210" spans="5:5" x14ac:dyDescent="0.2">
      <c r="E210" s="29"/>
    </row>
    <row r="211" spans="5:5" x14ac:dyDescent="0.2">
      <c r="E211" s="29"/>
    </row>
    <row r="212" spans="5:5" x14ac:dyDescent="0.2">
      <c r="E212" s="29"/>
    </row>
    <row r="213" spans="5:5" x14ac:dyDescent="0.2">
      <c r="E213" s="29"/>
    </row>
    <row r="214" spans="5:5" x14ac:dyDescent="0.2">
      <c r="E214" s="29"/>
    </row>
    <row r="215" spans="5:5" x14ac:dyDescent="0.2">
      <c r="E215" s="29"/>
    </row>
    <row r="216" spans="5:5" x14ac:dyDescent="0.2">
      <c r="E216" s="29"/>
    </row>
    <row r="217" spans="5:5" x14ac:dyDescent="0.2">
      <c r="E217" s="29"/>
    </row>
    <row r="218" spans="5:5" x14ac:dyDescent="0.2">
      <c r="E218" s="29"/>
    </row>
    <row r="219" spans="5:5" x14ac:dyDescent="0.2">
      <c r="E219" s="29"/>
    </row>
    <row r="220" spans="5:5" x14ac:dyDescent="0.2">
      <c r="E220" s="29"/>
    </row>
    <row r="221" spans="5:5" x14ac:dyDescent="0.2">
      <c r="E221" s="29"/>
    </row>
    <row r="222" spans="5:5" x14ac:dyDescent="0.2">
      <c r="E222" s="29"/>
    </row>
    <row r="223" spans="5:5" x14ac:dyDescent="0.2">
      <c r="E223" s="29"/>
    </row>
    <row r="224" spans="5:5" x14ac:dyDescent="0.2">
      <c r="E224" s="29"/>
    </row>
    <row r="225" spans="5:5" x14ac:dyDescent="0.2">
      <c r="E225" s="29"/>
    </row>
    <row r="226" spans="5:5" x14ac:dyDescent="0.2">
      <c r="E226" s="29"/>
    </row>
    <row r="227" spans="5:5" x14ac:dyDescent="0.2">
      <c r="E227" s="29"/>
    </row>
    <row r="228" spans="5:5" x14ac:dyDescent="0.2">
      <c r="E228" s="29"/>
    </row>
    <row r="229" spans="5:5" x14ac:dyDescent="0.2">
      <c r="E229" s="29"/>
    </row>
    <row r="230" spans="5:5" x14ac:dyDescent="0.2">
      <c r="E230" s="29"/>
    </row>
    <row r="231" spans="5:5" x14ac:dyDescent="0.2">
      <c r="E231" s="29"/>
    </row>
    <row r="232" spans="5:5" x14ac:dyDescent="0.2">
      <c r="E232" s="29"/>
    </row>
    <row r="233" spans="5:5" x14ac:dyDescent="0.2">
      <c r="E233" s="29"/>
    </row>
    <row r="234" spans="5:5" x14ac:dyDescent="0.2">
      <c r="E234" s="29"/>
    </row>
    <row r="235" spans="5:5" x14ac:dyDescent="0.2">
      <c r="E235" s="29"/>
    </row>
    <row r="236" spans="5:5" x14ac:dyDescent="0.2">
      <c r="E236" s="29"/>
    </row>
    <row r="237" spans="5:5" x14ac:dyDescent="0.2">
      <c r="E237" s="29"/>
    </row>
    <row r="238" spans="5:5" x14ac:dyDescent="0.2">
      <c r="E238" s="29"/>
    </row>
    <row r="239" spans="5:5" x14ac:dyDescent="0.2">
      <c r="E239" s="29"/>
    </row>
    <row r="240" spans="5:5" x14ac:dyDescent="0.2">
      <c r="E240" s="29"/>
    </row>
    <row r="241" spans="5:5" x14ac:dyDescent="0.2">
      <c r="E241" s="29"/>
    </row>
    <row r="242" spans="5:5" x14ac:dyDescent="0.2">
      <c r="E242" s="29"/>
    </row>
    <row r="243" spans="5:5" x14ac:dyDescent="0.2">
      <c r="E243" s="29"/>
    </row>
    <row r="244" spans="5:5" x14ac:dyDescent="0.2">
      <c r="E244" s="29"/>
    </row>
    <row r="245" spans="5:5" x14ac:dyDescent="0.2">
      <c r="E245" s="29"/>
    </row>
    <row r="246" spans="5:5" x14ac:dyDescent="0.2">
      <c r="E246" s="29"/>
    </row>
    <row r="247" spans="5:5" x14ac:dyDescent="0.2">
      <c r="E247" s="29"/>
    </row>
    <row r="248" spans="5:5" x14ac:dyDescent="0.2">
      <c r="E248" s="29"/>
    </row>
    <row r="249" spans="5:5" x14ac:dyDescent="0.2">
      <c r="E249" s="29"/>
    </row>
    <row r="250" spans="5:5" x14ac:dyDescent="0.2">
      <c r="E250" s="29"/>
    </row>
    <row r="251" spans="5:5" x14ac:dyDescent="0.2">
      <c r="E251" s="29"/>
    </row>
    <row r="252" spans="5:5" x14ac:dyDescent="0.2">
      <c r="E252" s="29"/>
    </row>
    <row r="253" spans="5:5" x14ac:dyDescent="0.2">
      <c r="E253" s="29"/>
    </row>
    <row r="254" spans="5:5" x14ac:dyDescent="0.2">
      <c r="E254" s="29"/>
    </row>
    <row r="255" spans="5:5" x14ac:dyDescent="0.2">
      <c r="E255" s="29"/>
    </row>
    <row r="256" spans="5:5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3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4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5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6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8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9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0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12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13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14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15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16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17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18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119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120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121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12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2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25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26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2025-09-29T12:48:59Z</dcterms:modified>
</cp:coreProperties>
</file>